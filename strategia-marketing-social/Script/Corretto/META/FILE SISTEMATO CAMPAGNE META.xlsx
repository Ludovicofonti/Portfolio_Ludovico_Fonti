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nti\Desktop\Data Science\2 ANNO\Web Marketing\Corretto\META\"/>
    </mc:Choice>
  </mc:AlternateContent>
  <xr:revisionPtr revIDLastSave="0" documentId="13_ncr:1_{36E3FAE0-B163-4765-8E92-03F02260141F}" xr6:coauthVersionLast="47" xr6:coauthVersionMax="47" xr10:uidLastSave="{00000000-0000-0000-0000-000000000000}"/>
  <bookViews>
    <workbookView xWindow="-108" yWindow="-108" windowWidth="23256" windowHeight="12456" activeTab="1" xr2:uid="{29EE6C90-4E4B-DF49-8E73-D026CCD2B705}"/>
  </bookViews>
  <sheets>
    <sheet name="Foglio2" sheetId="2" r:id="rId1"/>
    <sheet name="Foglio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1" i="1" l="1"/>
  <c r="R41" i="1" s="1"/>
  <c r="Q41" i="1"/>
  <c r="O41" i="1"/>
  <c r="K41" i="1"/>
  <c r="S40" i="1"/>
  <c r="R40" i="1" s="1"/>
  <c r="Q40" i="1"/>
  <c r="O40" i="1"/>
  <c r="N40" i="1"/>
  <c r="K40" i="1"/>
  <c r="S39" i="1"/>
  <c r="R39" i="1"/>
  <c r="Q39" i="1"/>
  <c r="O39" i="1"/>
  <c r="N39" i="1"/>
  <c r="L39" i="1"/>
  <c r="K39" i="1"/>
  <c r="S38" i="1"/>
  <c r="R38" i="1" s="1"/>
  <c r="Q38" i="1"/>
  <c r="O38" i="1"/>
  <c r="N38" i="1"/>
  <c r="K38" i="1"/>
  <c r="S37" i="1"/>
  <c r="R37" i="1" s="1"/>
  <c r="Q37" i="1"/>
  <c r="O37" i="1"/>
  <c r="K37" i="1"/>
  <c r="S36" i="1"/>
  <c r="R36" i="1" s="1"/>
  <c r="Q36" i="1"/>
  <c r="O36" i="1"/>
  <c r="N36" i="1"/>
  <c r="K36" i="1"/>
  <c r="S35" i="1"/>
  <c r="N35" i="1" s="1"/>
  <c r="Q35" i="1"/>
  <c r="O35" i="1"/>
  <c r="L35" i="1"/>
  <c r="K35" i="1"/>
  <c r="S34" i="1"/>
  <c r="N34" i="1" s="1"/>
  <c r="R34" i="1"/>
  <c r="Q34" i="1"/>
  <c r="O34" i="1"/>
  <c r="L34" i="1"/>
  <c r="K34" i="1"/>
  <c r="S33" i="1"/>
  <c r="R33" i="1" s="1"/>
  <c r="Q33" i="1"/>
  <c r="O33" i="1"/>
  <c r="N33" i="1"/>
  <c r="K33" i="1"/>
  <c r="S32" i="1"/>
  <c r="R32" i="1" s="1"/>
  <c r="Q32" i="1"/>
  <c r="O32" i="1"/>
  <c r="K32" i="1"/>
  <c r="S31" i="1"/>
  <c r="R31" i="1" s="1"/>
  <c r="Q31" i="1"/>
  <c r="O31" i="1"/>
  <c r="N31" i="1"/>
  <c r="K31" i="1"/>
  <c r="S30" i="1"/>
  <c r="N30" i="1" s="1"/>
  <c r="R30" i="1"/>
  <c r="Q30" i="1"/>
  <c r="O30" i="1"/>
  <c r="L30" i="1"/>
  <c r="K30" i="1"/>
  <c r="S29" i="1"/>
  <c r="R29" i="1" s="1"/>
  <c r="Q29" i="1"/>
  <c r="O29" i="1"/>
  <c r="N29" i="1"/>
  <c r="K29" i="1"/>
  <c r="S28" i="1"/>
  <c r="R28" i="1" s="1"/>
  <c r="Q28" i="1"/>
  <c r="O28" i="1"/>
  <c r="K28" i="1"/>
  <c r="S27" i="1"/>
  <c r="R27" i="1"/>
  <c r="Q27" i="1"/>
  <c r="O27" i="1"/>
  <c r="N27" i="1"/>
  <c r="L27" i="1"/>
  <c r="K27" i="1"/>
  <c r="S26" i="1"/>
  <c r="R26" i="1"/>
  <c r="Q26" i="1"/>
  <c r="O26" i="1"/>
  <c r="N26" i="1"/>
  <c r="L26" i="1"/>
  <c r="K26" i="1"/>
  <c r="S25" i="1"/>
  <c r="R25" i="1" s="1"/>
  <c r="Q25" i="1"/>
  <c r="O25" i="1"/>
  <c r="N25" i="1"/>
  <c r="K25" i="1"/>
  <c r="S24" i="1"/>
  <c r="R24" i="1" s="1"/>
  <c r="Q24" i="1"/>
  <c r="O24" i="1"/>
  <c r="K24" i="1"/>
  <c r="S23" i="1"/>
  <c r="N23" i="1" s="1"/>
  <c r="Q23" i="1"/>
  <c r="O23" i="1"/>
  <c r="L23" i="1"/>
  <c r="K23" i="1"/>
  <c r="S22" i="1"/>
  <c r="R22" i="1"/>
  <c r="Q22" i="1"/>
  <c r="O22" i="1"/>
  <c r="N22" i="1"/>
  <c r="L22" i="1"/>
  <c r="K22" i="1"/>
  <c r="S21" i="1"/>
  <c r="R21" i="1" s="1"/>
  <c r="Q21" i="1"/>
  <c r="O21" i="1"/>
  <c r="N21" i="1"/>
  <c r="K21" i="1"/>
  <c r="S20" i="1"/>
  <c r="R20" i="1" s="1"/>
  <c r="Q20" i="1"/>
  <c r="O20" i="1"/>
  <c r="K20" i="1"/>
  <c r="S19" i="1"/>
  <c r="N19" i="1" s="1"/>
  <c r="Q19" i="1"/>
  <c r="O19" i="1"/>
  <c r="L19" i="1"/>
  <c r="K19" i="1"/>
  <c r="S18" i="1"/>
  <c r="N18" i="1" s="1"/>
  <c r="R18" i="1"/>
  <c r="Q18" i="1"/>
  <c r="O18" i="1"/>
  <c r="L18" i="1"/>
  <c r="K18" i="1"/>
  <c r="S17" i="1"/>
  <c r="R17" i="1"/>
  <c r="Q17" i="1"/>
  <c r="O17" i="1"/>
  <c r="N17" i="1"/>
  <c r="L17" i="1"/>
  <c r="K17" i="1"/>
  <c r="S16" i="1"/>
  <c r="R16" i="1" s="1"/>
  <c r="Q16" i="1"/>
  <c r="O16" i="1"/>
  <c r="K16" i="1"/>
  <c r="S15" i="1"/>
  <c r="R15" i="1" s="1"/>
  <c r="Q15" i="1"/>
  <c r="O15" i="1"/>
  <c r="N15" i="1"/>
  <c r="K15" i="1"/>
  <c r="S14" i="1"/>
  <c r="R14" i="1" s="1"/>
  <c r="Q14" i="1"/>
  <c r="O14" i="1"/>
  <c r="K14" i="1"/>
  <c r="S13" i="1"/>
  <c r="N13" i="1" s="1"/>
  <c r="R13" i="1"/>
  <c r="Q13" i="1"/>
  <c r="O13" i="1"/>
  <c r="L13" i="1"/>
  <c r="K13" i="1"/>
  <c r="S12" i="1"/>
  <c r="R12" i="1" s="1"/>
  <c r="Q12" i="1"/>
  <c r="O12" i="1"/>
  <c r="N12" i="1"/>
  <c r="K12" i="1"/>
  <c r="S11" i="1"/>
  <c r="N11" i="1" s="1"/>
  <c r="R11" i="1"/>
  <c r="Q11" i="1"/>
  <c r="O11" i="1"/>
  <c r="L11" i="1"/>
  <c r="K11" i="1"/>
  <c r="S10" i="1"/>
  <c r="R10" i="1"/>
  <c r="Q10" i="1"/>
  <c r="O10" i="1"/>
  <c r="N10" i="1"/>
  <c r="L10" i="1"/>
  <c r="K10" i="1"/>
  <c r="S9" i="1"/>
  <c r="R9" i="1" s="1"/>
  <c r="Q9" i="1"/>
  <c r="O9" i="1"/>
  <c r="N9" i="1"/>
  <c r="K9" i="1"/>
  <c r="S8" i="1"/>
  <c r="R8" i="1" s="1"/>
  <c r="Q8" i="1"/>
  <c r="O8" i="1"/>
  <c r="K8" i="1"/>
  <c r="S7" i="1"/>
  <c r="N7" i="1" s="1"/>
  <c r="Q7" i="1"/>
  <c r="O7" i="1"/>
  <c r="L7" i="1"/>
  <c r="K7" i="1"/>
  <c r="S6" i="1"/>
  <c r="N6" i="1" s="1"/>
  <c r="R6" i="1"/>
  <c r="Q6" i="1"/>
  <c r="O6" i="1"/>
  <c r="L6" i="1"/>
  <c r="K6" i="1"/>
  <c r="S5" i="1"/>
  <c r="R5" i="1"/>
  <c r="Q5" i="1"/>
  <c r="O5" i="1"/>
  <c r="N5" i="1"/>
  <c r="L5" i="1"/>
  <c r="K5" i="1"/>
  <c r="S4" i="1"/>
  <c r="R4" i="1" s="1"/>
  <c r="Q4" i="1"/>
  <c r="O4" i="1"/>
  <c r="K4" i="1"/>
  <c r="S3" i="1"/>
  <c r="R3" i="1" s="1"/>
  <c r="Q3" i="1"/>
  <c r="O3" i="1"/>
  <c r="N3" i="1"/>
  <c r="K3" i="1"/>
  <c r="S2" i="1"/>
  <c r="R2" i="1" s="1"/>
  <c r="Q2" i="1"/>
  <c r="O2" i="1"/>
  <c r="K2" i="1"/>
  <c r="N41" i="1" l="1"/>
  <c r="N2" i="1"/>
  <c r="N14" i="1"/>
  <c r="N8" i="1"/>
  <c r="N20" i="1"/>
  <c r="L3" i="1"/>
  <c r="R7" i="1"/>
  <c r="L9" i="1"/>
  <c r="L15" i="1"/>
  <c r="R19" i="1"/>
  <c r="L21" i="1"/>
  <c r="L25" i="1"/>
  <c r="N32" i="1"/>
  <c r="L38" i="1"/>
  <c r="N37" i="1"/>
  <c r="L2" i="1"/>
  <c r="L14" i="1"/>
  <c r="R23" i="1"/>
  <c r="L31" i="1"/>
  <c r="N4" i="1"/>
  <c r="N16" i="1"/>
  <c r="R35" i="1"/>
  <c r="N24" i="1"/>
  <c r="N28" i="1"/>
  <c r="L29" i="1"/>
  <c r="L33" i="1"/>
  <c r="L37" i="1"/>
  <c r="L41" i="1"/>
  <c r="L4" i="1"/>
  <c r="L8" i="1"/>
  <c r="L12" i="1"/>
  <c r="L16" i="1"/>
  <c r="L20" i="1"/>
  <c r="L24" i="1"/>
  <c r="L28" i="1"/>
  <c r="L32" i="1"/>
  <c r="L36" i="1"/>
  <c r="L40" i="1"/>
</calcChain>
</file>

<file path=xl/sharedStrings.xml><?xml version="1.0" encoding="utf-8"?>
<sst xmlns="http://schemas.openxmlformats.org/spreadsheetml/2006/main" count="108" uniqueCount="71">
  <si>
    <t>Reporting starts</t>
  </si>
  <si>
    <t>Reporting ends</t>
  </si>
  <si>
    <t>Campaign name</t>
  </si>
  <si>
    <t>Ends</t>
  </si>
  <si>
    <t>Starts</t>
  </si>
  <si>
    <t>Results</t>
  </si>
  <si>
    <t>Result indicator</t>
  </si>
  <si>
    <t>Impressions</t>
  </si>
  <si>
    <t>CPM (cost per 1,000 impressions) (EUR)</t>
  </si>
  <si>
    <t>Reach</t>
  </si>
  <si>
    <t>Frequency</t>
  </si>
  <si>
    <t>Cost per results</t>
  </si>
  <si>
    <t>Link clicks</t>
  </si>
  <si>
    <t>CPC (cost per link click) (EUR)</t>
  </si>
  <si>
    <t>CTR (link click-through rate)</t>
  </si>
  <si>
    <t>Clicks (all)</t>
  </si>
  <si>
    <t>CTR (all)</t>
  </si>
  <si>
    <t>Cost per 1,000 Accounts Center accounts reached (EUR)</t>
  </si>
  <si>
    <t>COSTO TOTALE CAMPAGNA</t>
  </si>
  <si>
    <t>Conversioni - Realizzazione Cucina - 09-10/2021</t>
  </si>
  <si>
    <t>Conversioni - Lavora con noi -  ABO - ottobre 2021</t>
  </si>
  <si>
    <t>In corso</t>
  </si>
  <si>
    <t>Conversioni - Realizzazione Cucina - ottobre 2021</t>
  </si>
  <si>
    <t>Post ALWAYS ON</t>
  </si>
  <si>
    <t>actions:post_engagement</t>
  </si>
  <si>
    <t>Conversioni - Bonus Casa 2022 - maggio 2022</t>
  </si>
  <si>
    <t>actions:offsite_conversion.fb_pixel_lead</t>
  </si>
  <si>
    <t>TRAFFICO - Appuntamento cucina 18/5</t>
  </si>
  <si>
    <t>actions:landing_page_view</t>
  </si>
  <si>
    <t>[AML] FB� - IT - Conversioni - Infissi 2023 - Lead Generation</t>
  </si>
  <si>
    <t>[AML] FB - IT - Interazioni - Always On - Awareness</t>
  </si>
  <si>
    <t>[AML] FB - IT - Copertura - Always On (Caroselli) - Awareness</t>
  </si>
  <si>
    <t>reach</t>
  </si>
  <si>
    <t>[AML] IG - IT - Interazioni - Always On - Awareness</t>
  </si>
  <si>
    <t>[AML] IG - IT - Copertura - Always On (Caroselli) - Awareness</t>
  </si>
  <si>
    <t>[AML] FB� - IT - Conversioni - Broad - Infissi 2023 - Lead Generation</t>
  </si>
  <si>
    <t>[AML] FB� - IT - Conversioni - Infissi 2023 - Lead Generation - Remarketing</t>
  </si>
  <si>
    <t>[AML] FB� - IT - Conversioni - Cucine 2023 - Lead Generation</t>
  </si>
  <si>
    <t>[AML] FB� - IT - Video - Awareness</t>
  </si>
  <si>
    <t>video_thruplay_watched_actions</t>
  </si>
  <si>
    <t>[AML] FB� - IT - Conversioni - Cucine 2023 - Lead Generation - Remarketing</t>
  </si>
  <si>
    <t>[AML] FB� - IT - Conversioni - Cucine 2023 - Guida - Lead Generation - Remarketing</t>
  </si>
  <si>
    <t>[AML] FB� - IT - Conversioni - Cucine 2023 - Guida - Lead Generation</t>
  </si>
  <si>
    <t>[AML] IG - IT - Interazioni - Always On - Awareness - Arredo</t>
  </si>
  <si>
    <t>[AML] FB - IT - Interazioni - Always On - Awareness - Arredo</t>
  </si>
  <si>
    <t>[AML] FB - IT - Interazioni - Always On - Awareness - Arredo - Carosello</t>
  </si>
  <si>
    <t>[AML] FB - Interazioni - Inaugurazione</t>
  </si>
  <si>
    <t>[AML] IG - Interazioni - Inaugurazione</t>
  </si>
  <si>
    <t>[AML] FB� - Conversioni - Inaugurazione - Lead Generation</t>
  </si>
  <si>
    <t>[AML] IG - Visualizzazione Video - Reel - Inaugurazione</t>
  </si>
  <si>
    <t>[AML]  FB� - Traffico | Lavora Con Noi</t>
  </si>
  <si>
    <t>[AML] Interazioni Post Sponsorizzati Awareness - IG e FB - post singoli</t>
  </si>
  <si>
    <t>[AML] Awareness | Live Chat | Nov/Dic 2023</t>
  </si>
  <si>
    <t>[AML] Conversioni - Lead Prenota App. Showroom | 14 Nov/ 31 Dicembre 2023</t>
  </si>
  <si>
    <t>[AML] Traffico Post Sponsorizzati Awareness - IG e FB - Carosello</t>
  </si>
  <si>
    <t>[AML] Conversione Contatto - Lead Prenota App. Showroom</t>
  </si>
  <si>
    <t>[AML] Awareness | Live Chat</t>
  </si>
  <si>
    <t>[AML] FB� - Contatti - Inaugurazione  Senigallia - Lead Generation</t>
  </si>
  <si>
    <t>[AML] IG FB - Interazioni - Inaugurazione Senigallia</t>
  </si>
  <si>
    <t>[AML] IG FB - Copertura - Post IG Inaugurazione Senigallia</t>
  </si>
  <si>
    <t>[AML]  FB� - Contatto - Preventivo Infissi 2024</t>
  </si>
  <si>
    <t>[AML]  FB� - Interazione Post Sponsorizzati Infissi</t>
  </si>
  <si>
    <t>[AML]  FB� - Interazione Post Sponsorizzati Servizi Rinnovo Bagno</t>
  </si>
  <si>
    <t>[AML]  FB� - Contatto - Servizi Rinnovo Bagno 2024</t>
  </si>
  <si>
    <t>[AML]  FB� - Contatto GUIDA Servizi Rinnovo Bagno 2024</t>
  </si>
  <si>
    <t>actions:onsite_conversion.lead_grouped</t>
  </si>
  <si>
    <t>Etichette di riga</t>
  </si>
  <si>
    <t>Totale complessivo</t>
  </si>
  <si>
    <t>Media di CPM (cost per 1,000 impressions) (EUR)</t>
  </si>
  <si>
    <t>Conteggio di Impressions</t>
  </si>
  <si>
    <t>Somma di COSTO TOTALE CAMPAGNA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</si>
</sst>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yyyy\-mm\-dd"/>
    <numFmt numFmtId="165" formatCode="[$€-2]\ #,##0.00"/>
    <numFmt numFmtId="166" formatCode="0.000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164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165" fontId="3" fillId="0" borderId="1" xfId="0" applyNumberFormat="1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166" fontId="3" fillId="0" borderId="1" xfId="0" applyNumberFormat="1" applyFont="1" applyBorder="1" applyAlignment="1">
      <alignment wrapText="1"/>
    </xf>
    <xf numFmtId="10" fontId="3" fillId="0" borderId="1" xfId="2" applyNumberFormat="1" applyFont="1" applyBorder="1" applyAlignment="1">
      <alignment wrapText="1"/>
    </xf>
    <xf numFmtId="165" fontId="3" fillId="0" borderId="1" xfId="0" applyNumberFormat="1" applyFont="1" applyBorder="1" applyAlignment="1">
      <alignment horizontal="center" wrapText="1"/>
    </xf>
    <xf numFmtId="44" fontId="3" fillId="0" borderId="1" xfId="1" applyFont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Normale" xfId="0" builtinId="0"/>
    <cellStyle name="Percentuale" xfId="2" builtinId="5"/>
    <cellStyle name="Valuta" xfId="1" builtinId="4"/>
  </cellStyles>
  <dxfs count="1">
    <dxf>
      <numFmt numFmtId="34" formatCode="_-* #,##0.00\ &quot;€&quot;_-;\-* #,##0.00\ &quot;€&quot;_-;_-* &quot;-&quot;??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14.641221759259" createdVersion="8" refreshedVersion="8" minRefreshableVersion="3" recordCount="40" xr:uid="{89EDA7C0-14C7-A14C-AB39-B35C9D0C2B1F}">
  <cacheSource type="worksheet">
    <worksheetSource ref="A1:S41" sheet="Foglio1"/>
  </cacheSource>
  <cacheFields count="19">
    <cacheField name="Reporting starts" numFmtId="164">
      <sharedItems containsSemiMixedTypes="0" containsNonDate="0" containsDate="1" containsString="0" minDate="2021-10-13T00:00:00" maxDate="2021-10-14T00:00:00"/>
    </cacheField>
    <cacheField name="Reporting ends" numFmtId="164">
      <sharedItems containsSemiMixedTypes="0" containsNonDate="0" containsDate="1" containsString="0" minDate="2024-11-13T00:00:00" maxDate="2024-11-14T00:00:00"/>
    </cacheField>
    <cacheField name="Campaign name" numFmtId="0">
      <sharedItems/>
    </cacheField>
    <cacheField name="Ends" numFmtId="0">
      <sharedItems containsDate="1" containsMixedTypes="1" minDate="2021-11-20T00:00:00" maxDate="2024-12-24T00:00:00"/>
    </cacheField>
    <cacheField name="Starts" numFmtId="164">
      <sharedItems containsSemiMixedTypes="0" containsNonDate="0" containsDate="1" containsString="0" minDate="2021-09-06T00:00:00" maxDate="2024-10-02T00:00:00"/>
    </cacheField>
    <cacheField name="Results" numFmtId="0">
      <sharedItems containsString="0" containsBlank="1" containsNumber="1" containsInteger="1" minValue="1" maxValue="276930"/>
    </cacheField>
    <cacheField name="Result indicator" numFmtId="0">
      <sharedItems containsBlank="1" count="7">
        <m/>
        <s v="actions:post_engagement"/>
        <s v="actions:offsite_conversion.fb_pixel_lead"/>
        <s v="actions:landing_page_view"/>
        <s v="reach"/>
        <s v="video_thruplay_watched_actions"/>
        <s v="actions:onsite_conversion.lead_grouped"/>
      </sharedItems>
    </cacheField>
    <cacheField name="Impressions" numFmtId="0">
      <sharedItems containsSemiMixedTypes="0" containsString="0" containsNumber="1" containsInteger="1" minValue="1116" maxValue="825773"/>
    </cacheField>
    <cacheField name="CPM (cost per 1,000 impressions) (EUR)" numFmtId="165">
      <sharedItems containsSemiMixedTypes="0" containsString="0" containsNumber="1" minValue="0.36202200000000001" maxValue="5.6318710000000003"/>
    </cacheField>
    <cacheField name="Reach" numFmtId="0">
      <sharedItems containsSemiMixedTypes="0" containsString="0" containsNumber="1" containsInteger="1" minValue="1063" maxValue="276930"/>
    </cacheField>
    <cacheField name="Frequency" numFmtId="2">
      <sharedItems containsSemiMixedTypes="0" containsString="0" containsNumber="1" minValue="1.0498588899341486" maxValue="10.935282651072125"/>
    </cacheField>
    <cacheField name="Cost per results" numFmtId="165">
      <sharedItems containsMixedTypes="1" containsNumber="1" minValue="4.5722812018736641E-4" maxValue="189.84692258461536"/>
    </cacheField>
    <cacheField name="Link clicks" numFmtId="0">
      <sharedItems containsString="0" containsBlank="1" containsNumber="1" containsInteger="1" minValue="5" maxValue="9912"/>
    </cacheField>
    <cacheField name="CPC (cost per link click) (EUR)" numFmtId="165">
      <sharedItems containsMixedTypes="1" containsNumber="1" minValue="0.10718721925464084" maxValue="81.279998299500008"/>
    </cacheField>
    <cacheField name="CTR (link click-through rate)" numFmtId="166">
      <sharedItems containsSemiMixedTypes="0" containsString="0" containsNumber="1" minValue="0" maxValue="1.3750547968769941E-2"/>
    </cacheField>
    <cacheField name="Clicks (all)" numFmtId="0">
      <sharedItems containsSemiMixedTypes="0" containsString="0" containsNumber="1" containsInteger="1" minValue="12" maxValue="27024"/>
    </cacheField>
    <cacheField name="CTR (all)" numFmtId="10">
      <sharedItems containsSemiMixedTypes="0" containsString="0" containsNumber="1" minValue="6.4325578024208158E-4" maxValue="3.7013918265014496E-2"/>
    </cacheField>
    <cacheField name="Cost per 1,000 Accounts Center accounts reached (EUR)" numFmtId="165">
      <sharedItems containsSemiMixedTypes="0" containsString="0" containsNumber="1" minValue="0.45722812018736642" maxValue="57.886935694736842"/>
    </cacheField>
    <cacheField name="COSTO TOTALE CAMPAGNA" numFmtId="44">
      <sharedItems containsSemiMixedTypes="0" containsString="0" containsNumber="1" minValue="5.0399999640000006" maxValue="2468.0099935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d v="2021-10-13T00:00:00"/>
    <d v="2024-11-13T00:00:00"/>
    <s v="Conversioni - Realizzazione Cucina - 09-10/2021"/>
    <d v="2021-11-22T00:00:00"/>
    <d v="2021-09-06T00:00:00"/>
    <m/>
    <x v="0"/>
    <n v="56133"/>
    <n v="4.0199170000000004"/>
    <n v="21755"/>
    <n v="2.5802344288669272"/>
    <s v=""/>
    <n v="223"/>
    <n v="1.011883412381166"/>
    <n v="3.9727076764113798E-3"/>
    <n v="704"/>
    <n v="1.2541642171271801E-2"/>
    <n v="10.372328244587452"/>
    <n v="225.65000096100002"/>
  </r>
  <r>
    <d v="2021-10-13T00:00:00"/>
    <d v="2024-11-13T00:00:00"/>
    <s v="Conversioni - Lavora con noi -  ABO - ottobre 2021"/>
    <s v="In corso"/>
    <d v="2021-10-01T00:00:00"/>
    <m/>
    <x v="0"/>
    <n v="151737"/>
    <n v="2.4278849999999998"/>
    <n v="31214"/>
    <n v="4.8611840840648428"/>
    <s v=""/>
    <n v="1563"/>
    <n v="0.23570056701535508"/>
    <n v="1.0300717689159532E-2"/>
    <n v="4026"/>
    <n v="2.6532750746357185E-2"/>
    <n v="11.802395919939771"/>
    <n v="368.39998624499998"/>
  </r>
  <r>
    <d v="2021-10-13T00:00:00"/>
    <d v="2024-11-13T00:00:00"/>
    <s v="Conversioni - Realizzazione Cucina - ottobre 2021"/>
    <d v="2021-11-20T00:00:00"/>
    <d v="2021-10-11T00:00:00"/>
    <m/>
    <x v="0"/>
    <n v="23659"/>
    <n v="3.4523860000000002"/>
    <n v="13434"/>
    <n v="1.7611284799761799"/>
    <s v=""/>
    <n v="73"/>
    <n v="1.1189041147123291"/>
    <n v="3.0855065725516719E-3"/>
    <n v="113"/>
    <n v="4.7761951054566976E-3"/>
    <n v="6.0800953084710443"/>
    <n v="81.680000374000016"/>
  </r>
  <r>
    <d v="2021-10-13T00:00:00"/>
    <d v="2024-11-13T00:00:00"/>
    <s v="Post ALWAYS ON"/>
    <d v="2022-12-31T00:00:00"/>
    <d v="2022-04-08T00:00:00"/>
    <n v="17714"/>
    <x v="1"/>
    <n v="387692"/>
    <n v="1.5765610000000001"/>
    <n v="106528"/>
    <n v="3.6393436467407629"/>
    <n v="3.4504916292875693E-2"/>
    <n v="1653"/>
    <n v="0.36976411809558385"/>
    <n v="4.2636938600744924E-3"/>
    <n v="14350"/>
    <n v="3.7013918265014496E-2"/>
    <n v="5.7376472590492646"/>
    <n v="611.22008721200007"/>
  </r>
  <r>
    <d v="2021-10-13T00:00:00"/>
    <d v="2024-11-13T00:00:00"/>
    <s v="Conversioni - Bonus Casa 2022 - maggio 2022"/>
    <s v="In corso"/>
    <d v="2022-05-16T00:00:00"/>
    <n v="330"/>
    <x v="2"/>
    <n v="533658"/>
    <n v="2.4336929999999999"/>
    <n v="88951"/>
    <n v="5.9994603770615287"/>
    <n v="3.9356355727090908"/>
    <n v="4188"/>
    <n v="0.31011455085816619"/>
    <n v="7.8477226988071004E-3"/>
    <n v="7777"/>
    <n v="1.457300368400736E-2"/>
    <n v="14.600844723432001"/>
    <n v="1298.7597389939999"/>
  </r>
  <r>
    <d v="2021-10-13T00:00:00"/>
    <d v="2024-11-13T00:00:00"/>
    <s v="TRAFFICO - Appuntamento cucina 18/5"/>
    <d v="2022-08-25T00:00:00"/>
    <d v="2022-05-18T00:00:00"/>
    <n v="662"/>
    <x v="3"/>
    <n v="165698"/>
    <n v="1.508769"/>
    <n v="43568"/>
    <n v="3.8032041865589425"/>
    <n v="0.3776435132356496"/>
    <n v="1560"/>
    <n v="0.16025641395000001"/>
    <n v="9.4147183430095711E-3"/>
    <n v="2429"/>
    <n v="1.4659199266134775E-2"/>
    <n v="5.7381565773503489"/>
    <n v="250.00000576200003"/>
  </r>
  <r>
    <d v="2021-10-13T00:00:00"/>
    <d v="2024-11-13T00:00:00"/>
    <s v="[AML] FB� - IT - Conversioni - Infissi 2023 - Lead Generation"/>
    <d v="2023-03-31T00:00:00"/>
    <d v="2023-02-07T00:00:00"/>
    <n v="5"/>
    <x v="2"/>
    <n v="54916"/>
    <n v="4.2399300000000002"/>
    <n v="18805"/>
    <n v="2.920287157670832"/>
    <n v="46.567999176000001"/>
    <n v="330"/>
    <n v="0.70557574509090915"/>
    <n v="6.0091776531429816E-3"/>
    <n v="907"/>
    <n v="1.6516133731517228E-2"/>
    <n v="12.381813128423291"/>
    <n v="232.83999588"/>
  </r>
  <r>
    <d v="2021-10-13T00:00:00"/>
    <d v="2024-11-13T00:00:00"/>
    <s v="[AML] FB - IT - Interazioni - Always On - Awareness"/>
    <d v="2023-06-30T00:00:00"/>
    <d v="2023-02-07T00:00:00"/>
    <n v="6653"/>
    <x v="1"/>
    <n v="388853"/>
    <n v="1.673897"/>
    <n v="72881"/>
    <n v="5.3354509405743613"/>
    <n v="9.7835543385089443E-2"/>
    <n v="2054"/>
    <n v="0.31689380240555015"/>
    <n v="5.2822017574764759E-3"/>
    <n v="9858"/>
    <n v="2.5351482436807741E-2"/>
    <n v="8.9309953230746029"/>
    <n v="650.89987014100006"/>
  </r>
  <r>
    <d v="2021-10-13T00:00:00"/>
    <d v="2024-11-13T00:00:00"/>
    <s v="[AML] FB - IT - Copertura - Always On (Caroselli) - Awareness"/>
    <d v="2023-11-30T00:00:00"/>
    <d v="2023-02-07T00:00:00"/>
    <n v="58261"/>
    <x v="4"/>
    <n v="125821"/>
    <n v="0.36202200000000001"/>
    <n v="58261"/>
    <n v="2.1596093441581847"/>
    <n v="7.8182609399083433E-4"/>
    <n v="106"/>
    <n v="0.42971669869811319"/>
    <n v="8.4246667885329155E-4"/>
    <n v="192"/>
    <n v="1.5259773805644528E-3"/>
    <n v="0.78182609399083436"/>
    <n v="45.549970062"/>
  </r>
  <r>
    <d v="2021-10-13T00:00:00"/>
    <d v="2024-11-13T00:00:00"/>
    <s v="[AML] IG - IT - Interazioni - Always On - Awareness"/>
    <d v="2023-06-30T00:00:00"/>
    <d v="2023-02-07T00:00:00"/>
    <n v="4727"/>
    <x v="1"/>
    <n v="127589"/>
    <n v="5.0963640000000003"/>
    <n v="22103"/>
    <n v="5.772474324752296"/>
    <n v="0.13755870243198648"/>
    <n v="8"/>
    <n v="81.279998299500008"/>
    <n v="6.2701330051963727E-5"/>
    <n v="224"/>
    <n v="1.7556372414549843E-3"/>
    <n v="29.418630339591914"/>
    <n v="650.23998639600006"/>
  </r>
  <r>
    <d v="2021-10-13T00:00:00"/>
    <d v="2024-11-13T00:00:00"/>
    <s v="[AML] IG - IT - Copertura - Always On (Caroselli) - Awareness"/>
    <d v="2023-11-30T00:00:00"/>
    <d v="2023-02-07T00:00:00"/>
    <n v="54526"/>
    <x v="4"/>
    <n v="110376"/>
    <n v="0.410325"/>
    <n v="54526"/>
    <n v="2.0242819939111616"/>
    <n v="8.3061350915159741E-4"/>
    <n v="29"/>
    <n v="1.5617252482758621"/>
    <n v="2.6273827643690656E-4"/>
    <n v="71"/>
    <n v="6.4325578024208158E-4"/>
    <n v="0.83061350915159737"/>
    <n v="45.290032199999999"/>
  </r>
  <r>
    <d v="2021-10-13T00:00:00"/>
    <d v="2024-11-13T00:00:00"/>
    <s v="[AML] FB� - IT - Conversioni - Broad - Infissi 2023 - Lead Generation"/>
    <d v="2023-03-31T00:00:00"/>
    <d v="2023-02-15T00:00:00"/>
    <n v="1"/>
    <x v="2"/>
    <n v="16517"/>
    <n v="3.6114310000000001"/>
    <n v="9646"/>
    <n v="1.7123159859008916"/>
    <n v="59.650005827000001"/>
    <n v="84"/>
    <n v="0.71011911698809527"/>
    <n v="5.0856693104074594E-3"/>
    <n v="211"/>
    <n v="1.2774716958285403E-2"/>
    <n v="6.1839110332780427"/>
    <n v="59.650005827000001"/>
  </r>
  <r>
    <d v="2021-10-13T00:00:00"/>
    <d v="2024-11-13T00:00:00"/>
    <s v="[AML] FB� - IT - Conversioni - Infissi 2023 - Lead Generation - Remarketing"/>
    <d v="2023-03-31T00:00:00"/>
    <d v="2023-03-09T00:00:00"/>
    <n v="2"/>
    <x v="2"/>
    <n v="9436"/>
    <n v="4.1341669999999997"/>
    <n v="1437"/>
    <n v="6.5664578983994435"/>
    <n v="19.504999905999998"/>
    <n v="43"/>
    <n v="0.90720929795348826"/>
    <n v="4.5570156846121241E-3"/>
    <n v="158"/>
    <n v="1.6744383213225942E-2"/>
    <n v="27.146833550452328"/>
    <n v="39.009999811999997"/>
  </r>
  <r>
    <d v="2021-10-13T00:00:00"/>
    <d v="2024-11-13T00:00:00"/>
    <s v="[AML] FB� - IT - Conversioni - Cucine 2023 - Lead Generation"/>
    <d v="2023-05-31T00:00:00"/>
    <d v="2023-03-30T00:00:00"/>
    <n v="5"/>
    <x v="2"/>
    <n v="209287"/>
    <n v="3.5599440000000002"/>
    <n v="49440"/>
    <n v="4.2331512944983816"/>
    <n v="149.00999998560002"/>
    <n v="1334"/>
    <n v="0.55850824582308845"/>
    <n v="6.3740222756310709E-3"/>
    <n v="2801"/>
    <n v="1.3383535527768088E-2"/>
    <n v="15.069781551941748"/>
    <n v="745.04999992800003"/>
  </r>
  <r>
    <d v="2021-10-13T00:00:00"/>
    <d v="2024-11-13T00:00:00"/>
    <s v="[AML] FB� - IT - Video - Awareness"/>
    <d v="2023-04-11T00:00:00"/>
    <d v="2023-04-05T00:00:00"/>
    <n v="2435"/>
    <x v="5"/>
    <n v="12904"/>
    <n v="0.73620600000000003"/>
    <n v="10096"/>
    <n v="1.2781299524564185"/>
    <n v="3.9014382850102668E-3"/>
    <m/>
    <s v=""/>
    <n v="0"/>
    <n v="95"/>
    <n v="7.3620582765034099E-3"/>
    <n v="0.94096693977812984"/>
    <n v="9.5000022239999993"/>
  </r>
  <r>
    <d v="2021-10-13T00:00:00"/>
    <d v="2024-11-13T00:00:00"/>
    <s v="[AML] FB� - IT - Conversioni - Cucine 2023 - Lead Generation - Remarketing"/>
    <d v="2023-05-31T00:00:00"/>
    <d v="2023-04-11T00:00:00"/>
    <m/>
    <x v="0"/>
    <n v="20244"/>
    <n v="4.4600869999999997"/>
    <n v="1971"/>
    <n v="10.270928462709284"/>
    <s v=""/>
    <n v="112"/>
    <n v="0.80616072524999993"/>
    <n v="5.5325034578146614E-3"/>
    <n v="230"/>
    <n v="1.1361391029440822E-2"/>
    <n v="45.809234514459661"/>
    <n v="90.290001227999994"/>
  </r>
  <r>
    <d v="2021-10-13T00:00:00"/>
    <d v="2024-11-13T00:00:00"/>
    <s v="[AML] FB� - IT - Conversioni - Cucine 2023 - Guida - Lead Generation - Remarketing"/>
    <d v="2023-06-30T00:00:00"/>
    <d v="2023-05-11T00:00:00"/>
    <n v="8"/>
    <x v="2"/>
    <n v="28049"/>
    <n v="5.2935930000000004"/>
    <n v="2565"/>
    <n v="10.935282651072125"/>
    <n v="18.559998757125001"/>
    <n v="122"/>
    <n v="1.2170490988278688"/>
    <n v="4.3495311775820882E-3"/>
    <n v="210"/>
    <n v="7.4868979286249063E-3"/>
    <n v="57.886935694736842"/>
    <n v="148.47999005700001"/>
  </r>
  <r>
    <d v="2021-10-13T00:00:00"/>
    <d v="2024-11-13T00:00:00"/>
    <s v="[AML] FB� - IT - Conversioni - Cucine 2023 - Guida - Lead Generation"/>
    <d v="2023-06-30T00:00:00"/>
    <d v="2023-05-11T00:00:00"/>
    <n v="50"/>
    <x v="2"/>
    <n v="319045"/>
    <n v="3.8789199999999999"/>
    <n v="57490"/>
    <n v="5.5495738389285094"/>
    <n v="24.751000628"/>
    <n v="1096"/>
    <n v="1.1291514885036498"/>
    <n v="3.4352520804275259E-3"/>
    <n v="1764"/>
    <n v="5.5290006111990472E-3"/>
    <n v="21.526352955296574"/>
    <n v="1237.5500314000001"/>
  </r>
  <r>
    <d v="2021-10-13T00:00:00"/>
    <d v="2024-11-13T00:00:00"/>
    <s v="[AML] IG - IT - Interazioni - Always On - Awareness - Arredo"/>
    <d v="2023-08-31T00:00:00"/>
    <d v="2023-07-01T00:00:00"/>
    <n v="2843"/>
    <x v="1"/>
    <n v="68370"/>
    <n v="4.240164"/>
    <n v="21681"/>
    <n v="3.1534523315345235"/>
    <n v="0.10196975472388321"/>
    <n v="107"/>
    <n v="2.709345912897196"/>
    <n v="1.5650138949831797E-3"/>
    <n v="197"/>
    <n v="2.8813807225391255E-3"/>
    <n v="13.371155051888749"/>
    <n v="289.90001267999997"/>
  </r>
  <r>
    <d v="2021-10-13T00:00:00"/>
    <d v="2024-11-13T00:00:00"/>
    <s v="[AML] FB - IT - Interazioni - Always On - Awareness - Arredo"/>
    <d v="2023-08-31T00:00:00"/>
    <d v="2023-07-01T00:00:00"/>
    <n v="2644"/>
    <x v="1"/>
    <n v="279631"/>
    <n v="1.0387980000000001"/>
    <n v="73345"/>
    <n v="3.8125434589951599"/>
    <n v="0.10986388938653557"/>
    <n v="606"/>
    <n v="0.47934013785148522"/>
    <n v="2.1671416974512838E-3"/>
    <n v="3850"/>
    <n v="1.3768144447504032E-2"/>
    <n v="3.9604625201172543"/>
    <n v="290.48012353800004"/>
  </r>
  <r>
    <d v="2021-10-13T00:00:00"/>
    <d v="2024-11-13T00:00:00"/>
    <s v="[AML] FB - IT - Interazioni - Always On - Awareness - Arredo - Carosello"/>
    <d v="2023-08-31T00:00:00"/>
    <d v="2023-07-01T00:00:00"/>
    <n v="168"/>
    <x v="3"/>
    <n v="70867"/>
    <n v="1.8417600000000001"/>
    <n v="26464"/>
    <n v="2.6778642684401452"/>
    <n v="0.77690479714285721"/>
    <n v="749"/>
    <n v="0.1742590199198932"/>
    <n v="1.0569094218747795E-2"/>
    <n v="1080"/>
    <n v="1.5239815428902027E-2"/>
    <n v="4.9319832950423219"/>
    <n v="130.52000592000002"/>
  </r>
  <r>
    <d v="2021-10-13T00:00:00"/>
    <d v="2024-11-13T00:00:00"/>
    <s v="[AML] FB - Interazioni - Inaugurazione"/>
    <d v="2023-09-30T00:00:00"/>
    <d v="2023-08-28T00:00:00"/>
    <n v="3823"/>
    <x v="1"/>
    <n v="355818"/>
    <n v="1.2174480000000001"/>
    <n v="85320"/>
    <n v="4.1703938115330521"/>
    <n v="0.11331151254616793"/>
    <n v="1493"/>
    <n v="0.29014729568921638"/>
    <n v="4.1959653530737624E-3"/>
    <n v="9565"/>
    <n v="2.6881720430107527E-2"/>
    <n v="5.0772376050632912"/>
    <n v="433.18991246400003"/>
  </r>
  <r>
    <d v="2021-10-13T00:00:00"/>
    <d v="2024-11-13T00:00:00"/>
    <s v="[AML] IG - Interazioni - Inaugurazione"/>
    <d v="2023-09-30T00:00:00"/>
    <d v="2023-08-28T00:00:00"/>
    <n v="2848"/>
    <x v="1"/>
    <n v="112764"/>
    <n v="3.8415629999999998"/>
    <n v="44422"/>
    <n v="2.5384719283238035"/>
    <n v="0.1521032338946629"/>
    <n v="378"/>
    <n v="1.1460053178095237"/>
    <n v="3.352133659678621E-3"/>
    <n v="619"/>
    <n v="5.4893405696853602E-3"/>
    <n v="9.7516998363873757"/>
    <n v="433.19001013199994"/>
  </r>
  <r>
    <d v="2021-10-13T00:00:00"/>
    <d v="2024-11-13T00:00:00"/>
    <s v="[AML] FB� - Conversioni - Inaugurazione - Lead Generation"/>
    <d v="2023-09-30T00:00:00"/>
    <d v="2023-08-28T00:00:00"/>
    <n v="70"/>
    <x v="2"/>
    <n v="298291"/>
    <n v="3.3510900000000001"/>
    <n v="50956"/>
    <n v="5.8538935552241149"/>
    <n v="14.279999817"/>
    <n v="1407"/>
    <n v="0.71044775208955224"/>
    <n v="4.7168704385985496E-3"/>
    <n v="3640"/>
    <n v="1.2202848895876845E-2"/>
    <n v="19.61692415397598"/>
    <n v="999.59998718999998"/>
  </r>
  <r>
    <d v="2021-10-13T00:00:00"/>
    <d v="2024-11-13T00:00:00"/>
    <s v="[AML] IG - Visualizzazione Video - Reel - Inaugurazione"/>
    <d v="2023-09-07T00:00:00"/>
    <d v="2023-09-04T00:00:00"/>
    <n v="1739"/>
    <x v="5"/>
    <n v="22833"/>
    <n v="0.77694600000000003"/>
    <n v="16168"/>
    <n v="1.4122340425531914"/>
    <n v="1.020126970557792E-2"/>
    <m/>
    <s v=""/>
    <n v="0"/>
    <n v="196"/>
    <n v="8.584066920684974E-3"/>
    <n v="1.097229590425532"/>
    <n v="17.740008018000001"/>
  </r>
  <r>
    <d v="2021-10-13T00:00:00"/>
    <d v="2024-11-13T00:00:00"/>
    <s v="[AML]  FB� - Traffico | Lavora Con Noi"/>
    <d v="2024-07-31T00:00:00"/>
    <d v="2023-10-02T00:00:00"/>
    <n v="1702"/>
    <x v="3"/>
    <n v="825773"/>
    <n v="1.7622519999999999"/>
    <n v="132862"/>
    <n v="6.2152684740557875"/>
    <n v="0.85500594641363103"/>
    <n v="5029"/>
    <n v="0.28936570308132831"/>
    <n v="6.0900513821595037E-3"/>
    <n v="27024"/>
    <n v="3.2725700646545723E-2"/>
    <n v="10.952869298941758"/>
    <n v="1455.2201207959999"/>
  </r>
  <r>
    <d v="2021-10-13T00:00:00"/>
    <d v="2024-11-13T00:00:00"/>
    <s v="[AML] Interazioni Post Sponsorizzati Awareness - IG e FB - post singoli"/>
    <s v="In corso"/>
    <d v="2023-11-15T00:00:00"/>
    <n v="8088"/>
    <x v="1"/>
    <n v="365778"/>
    <n v="2.80375"/>
    <n v="97297"/>
    <n v="3.7593964870448215"/>
    <n v="0.12679896977002969"/>
    <n v="1109"/>
    <n v="0.92475208972046896"/>
    <n v="3.0318936622760252E-3"/>
    <n v="5894"/>
    <n v="1.6113598958931375E-2"/>
    <n v="10.540407900551919"/>
    <n v="1025.5500675000001"/>
  </r>
  <r>
    <d v="2021-10-13T00:00:00"/>
    <d v="2024-11-13T00:00:00"/>
    <s v="[AML] Awareness | Live Chat | Nov/Dic 2023"/>
    <d v="2023-11-20T00:00:00"/>
    <d v="2023-11-01T00:00:00"/>
    <m/>
    <x v="0"/>
    <n v="196156"/>
    <n v="0.58142499999999997"/>
    <n v="127129"/>
    <n v="1.5429681661933941"/>
    <s v=""/>
    <n v="181"/>
    <n v="0.63011050994475126"/>
    <n v="9.2273496604743164E-4"/>
    <n v="284"/>
    <n v="1.4478272395440364E-3"/>
    <n v="0.89712026602899408"/>
    <n v="114.05000229999999"/>
  </r>
  <r>
    <d v="2021-10-13T00:00:00"/>
    <d v="2024-11-13T00:00:00"/>
    <s v="[AML] Conversioni - Lead Prenota App. Showroom | 14 Nov/ 31 Dicembre 2023"/>
    <d v="2023-11-20T00:00:00"/>
    <d v="2023-11-14T00:00:00"/>
    <m/>
    <x v="0"/>
    <n v="1116"/>
    <n v="4.5161290000000003"/>
    <n v="1063"/>
    <n v="1.0498588899341486"/>
    <s v=""/>
    <n v="5"/>
    <n v="1.0079999928000001"/>
    <n v="4.4802867383512543E-3"/>
    <n v="12"/>
    <n v="1.0752688172043012E-2"/>
    <n v="4.7412981787394166"/>
    <n v="5.0399999640000006"/>
  </r>
  <r>
    <d v="2021-10-13T00:00:00"/>
    <d v="2024-11-13T00:00:00"/>
    <s v="[AML] Traffico Post Sponsorizzati Awareness - IG e FB - Carosello"/>
    <d v="2024-01-24T00:00:00"/>
    <d v="2023-11-15T00:00:00"/>
    <n v="346"/>
    <x v="3"/>
    <n v="176172"/>
    <n v="2.4400590000000002"/>
    <n v="45571"/>
    <n v="3.8658796164227249"/>
    <n v="1.2423990582312141"/>
    <n v="1354"/>
    <n v="0.31748159095125561"/>
    <n v="7.6856708216969782E-3"/>
    <n v="2019"/>
    <n v="1.1460390981540766E-2"/>
    <n v="9.43297435096882"/>
    <n v="429.87007414800007"/>
  </r>
  <r>
    <d v="2021-10-13T00:00:00"/>
    <d v="2024-11-13T00:00:00"/>
    <s v="[AML] Conversione Contatto - Lead Prenota App. Showroom"/>
    <s v="In corso"/>
    <d v="2023-11-20T00:00:00"/>
    <n v="13"/>
    <x v="2"/>
    <n v="474340"/>
    <n v="5.2030399999999997"/>
    <n v="69873"/>
    <n v="6.7886021782376593"/>
    <n v="189.84692258461536"/>
    <n v="2457"/>
    <n v="1.0044810718762718"/>
    <n v="5.1798288147742125E-3"/>
    <n v="4892"/>
    <n v="1.0313277395960703E-2"/>
    <n v="35.32136867745767"/>
    <n v="2468.0099935999997"/>
  </r>
  <r>
    <d v="2021-10-13T00:00:00"/>
    <d v="2024-11-13T00:00:00"/>
    <s v="[AML] Awareness | Live Chat"/>
    <d v="2024-01-24T00:00:00"/>
    <d v="2023-11-20T00:00:00"/>
    <n v="276930"/>
    <x v="4"/>
    <n v="552793"/>
    <n v="0.52592899999999998"/>
    <n v="276930"/>
    <n v="1.9961470407684252"/>
    <n v="1.0498316170042972E-3"/>
    <n v="435"/>
    <n v="0.66834452803908051"/>
    <n v="7.8691300360170984E-4"/>
    <n v="664"/>
    <n v="1.2011729526242192E-3"/>
    <n v="1.0498316170042972"/>
    <n v="290.72986969700003"/>
  </r>
  <r>
    <d v="2021-10-13T00:00:00"/>
    <d v="2024-11-13T00:00:00"/>
    <s v="[AML] FB� - Contatti - Inaugurazione  Senigallia - Lead Generation"/>
    <d v="2024-02-25T00:00:00"/>
    <d v="2024-01-24T00:00:00"/>
    <n v="76"/>
    <x v="2"/>
    <n v="347419"/>
    <n v="3.2913860000000001"/>
    <n v="55953"/>
    <n v="6.209121941629582"/>
    <n v="15.045921483342108"/>
    <n v="1600"/>
    <n v="0.71468127045875007"/>
    <n v="4.6053900333602937E-3"/>
    <n v="3766"/>
    <n v="1.0839936791021793E-2"/>
    <n v="20.436617030972428"/>
    <n v="1143.4900327340001"/>
  </r>
  <r>
    <d v="2021-10-13T00:00:00"/>
    <d v="2024-11-13T00:00:00"/>
    <s v="[AML] IG FB - Interazioni - Inaugurazione Senigallia"/>
    <d v="2024-02-25T00:00:00"/>
    <d v="2024-01-24T00:00:00"/>
    <n v="30368"/>
    <x v="1"/>
    <n v="261122"/>
    <n v="2.4176820000000001"/>
    <n v="101857"/>
    <n v="2.5636136937078455"/>
    <n v="2.078865777146997E-2"/>
    <n v="2069"/>
    <n v="0.30512806148090865"/>
    <n v="7.9234993604522016E-3"/>
    <n v="7392"/>
    <n v="2.8308606704911879E-2"/>
    <n v="6.1980026822309719"/>
    <n v="631.30995920400005"/>
  </r>
  <r>
    <d v="2021-10-13T00:00:00"/>
    <d v="2024-11-13T00:00:00"/>
    <s v="[AML] IG FB - Copertura - Post IG Inaugurazione Senigallia"/>
    <d v="2024-02-25T00:00:00"/>
    <d v="2024-02-14T00:00:00"/>
    <n v="109945"/>
    <x v="4"/>
    <n v="128014"/>
    <n v="0.39269100000000001"/>
    <n v="109945"/>
    <n v="1.1643458092682706"/>
    <n v="4.5722812018736641E-4"/>
    <n v="81"/>
    <n v="0.62061661325925921"/>
    <n v="6.3274329370225128E-4"/>
    <n v="137"/>
    <n v="1.0701954473729435E-3"/>
    <n v="0.45722812018736642"/>
    <n v="50.269945673999999"/>
  </r>
  <r>
    <d v="2021-10-13T00:00:00"/>
    <d v="2024-11-13T00:00:00"/>
    <s v="[AML]  FB� - Contatto - Preventivo Infissi 2024"/>
    <d v="2024-05-29T00:00:00"/>
    <d v="2024-04-10T00:00:00"/>
    <n v="24"/>
    <x v="2"/>
    <n v="242115"/>
    <n v="4.9350519999999998"/>
    <n v="61843"/>
    <n v="3.9149944213573082"/>
    <n v="49.7854214575"/>
    <n v="983"/>
    <n v="1.2155138504374363"/>
    <n v="4.0600541065196295E-3"/>
    <n v="2143"/>
    <n v="8.8511657683332298E-3"/>
    <n v="19.320701049108223"/>
    <n v="1194.8501149799999"/>
  </r>
  <r>
    <d v="2021-10-13T00:00:00"/>
    <d v="2024-11-13T00:00:00"/>
    <s v="[AML]  FB� - Interazione Post Sponsorizzati Infissi"/>
    <d v="2024-06-18T00:00:00"/>
    <d v="2024-04-10T00:00:00"/>
    <n v="4702"/>
    <x v="1"/>
    <n v="128468"/>
    <n v="4.2904850000000003"/>
    <n v="36143"/>
    <n v="3.5544365437290764"/>
    <n v="0.11722459102084221"/>
    <n v="290"/>
    <n v="1.9006552654482762"/>
    <n v="2.2573714855061182E-3"/>
    <n v="3165"/>
    <n v="2.4636485350437463E-2"/>
    <n v="15.250256674321449"/>
    <n v="551.19002698000008"/>
  </r>
  <r>
    <d v="2021-10-13T00:00:00"/>
    <d v="2024-11-13T00:00:00"/>
    <s v="[AML]  FB� - Interazione Post Sponsorizzati Servizi Rinnovo Bagno"/>
    <d v="2024-12-23T00:00:00"/>
    <d v="2024-06-18T00:00:00"/>
    <n v="11961"/>
    <x v="1"/>
    <n v="720844"/>
    <n v="1.4738830000000001"/>
    <n v="186417"/>
    <n v="3.8668361791038373"/>
    <n v="8.8825325411922076E-2"/>
    <n v="9912"/>
    <n v="0.10718721925464084"/>
    <n v="1.3750547968769941E-2"/>
    <n v="16319"/>
    <n v="2.2638740143498454E-2"/>
    <n v="5.6992641081661013"/>
    <n v="1062.439717252"/>
  </r>
  <r>
    <d v="2021-10-13T00:00:00"/>
    <d v="2024-11-13T00:00:00"/>
    <s v="[AML]  FB� - Contatto - Servizi Rinnovo Bagno 2024"/>
    <d v="2024-09-30T00:00:00"/>
    <d v="2024-06-21T00:00:00"/>
    <n v="25"/>
    <x v="2"/>
    <n v="355288"/>
    <n v="4.8151080000000004"/>
    <n v="80666"/>
    <n v="4.4044330944883843"/>
    <n v="68.43000364416001"/>
    <n v="1964"/>
    <n v="0.87105401787372716"/>
    <n v="5.5279097520884463E-3"/>
    <n v="4296"/>
    <n v="1.2091598928193465E-2"/>
    <n v="21.207821028735776"/>
    <n v="1710.7500911040001"/>
  </r>
  <r>
    <d v="2021-10-13T00:00:00"/>
    <d v="2024-11-13T00:00:00"/>
    <s v="[AML]  FB� - Contatto GUIDA Servizi Rinnovo Bagno 2024"/>
    <d v="2024-12-22T00:00:00"/>
    <d v="2024-10-01T00:00:00"/>
    <n v="104"/>
    <x v="6"/>
    <n v="141809"/>
    <n v="5.6318710000000003"/>
    <n v="40061"/>
    <n v="3.5398267641846184"/>
    <n v="7.679326871528847"/>
    <n v="1137"/>
    <n v="0.70241864084344774"/>
    <n v="8.0178267951963554E-3"/>
    <n v="2015"/>
    <n v="1.4209253291398995E-2"/>
    <n v="19.935847698235193"/>
    <n v="798.649994639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96DFB-8DA7-6148-B8D8-79402FF2EA3D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10" firstHeaderRow="0" firstDataRow="1" firstDataCol="1"/>
  <pivotFields count="19">
    <pivotField numFmtId="164" showAll="0"/>
    <pivotField numFmtId="164" showAll="0"/>
    <pivotField showAll="0"/>
    <pivotField showAll="0"/>
    <pivotField numFmtId="164" showAll="0"/>
    <pivotField showAll="0"/>
    <pivotField axis="axisRow" showAll="0">
      <items count="8">
        <item x="3"/>
        <item x="2"/>
        <item x="6"/>
        <item x="1"/>
        <item x="4"/>
        <item x="5"/>
        <item h="1" x="0"/>
        <item t="default"/>
      </items>
    </pivotField>
    <pivotField dataField="1" showAll="0"/>
    <pivotField dataField="1" numFmtId="165" showAll="0"/>
    <pivotField showAll="0"/>
    <pivotField numFmtId="2" showAll="0"/>
    <pivotField showAll="0"/>
    <pivotField showAll="0"/>
    <pivotField showAll="0"/>
    <pivotField numFmtId="166" showAll="0"/>
    <pivotField showAll="0"/>
    <pivotField numFmtId="10" showAll="0"/>
    <pivotField numFmtId="165" showAll="0"/>
    <pivotField dataField="1" numFmtId="44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edia di CPM (cost per 1,000 impressions) (EUR)" fld="8" subtotal="average" baseField="0" baseItem="0"/>
    <dataField name="Conteggio di Impressions" fld="7" subtotal="count" baseField="0" baseItem="0"/>
    <dataField name="Somma di COSTO TOTALE CAMPAGNA" fld="18" baseField="0" baseItem="0" numFmtId="44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FF5E-F913-934E-9603-0D554CFC6772}">
  <dimension ref="A3:D10"/>
  <sheetViews>
    <sheetView workbookViewId="0">
      <selection activeCell="B10" sqref="B10"/>
    </sheetView>
  </sheetViews>
  <sheetFormatPr defaultColWidth="11.19921875" defaultRowHeight="15.6" x14ac:dyDescent="0.3"/>
  <cols>
    <col min="1" max="1" width="34.296875" bestFit="1" customWidth="1"/>
    <col min="2" max="2" width="42.19921875" bestFit="1" customWidth="1"/>
    <col min="3" max="3" width="22.5" bestFit="1" customWidth="1"/>
    <col min="4" max="5" width="33.19921875" bestFit="1" customWidth="1"/>
  </cols>
  <sheetData>
    <row r="3" spans="1:4" x14ac:dyDescent="0.3">
      <c r="A3" s="11" t="s">
        <v>66</v>
      </c>
      <c r="B3" t="s">
        <v>68</v>
      </c>
      <c r="C3" t="s">
        <v>69</v>
      </c>
      <c r="D3" t="s">
        <v>70</v>
      </c>
    </row>
    <row r="4" spans="1:4" x14ac:dyDescent="0.3">
      <c r="A4" s="12" t="s">
        <v>28</v>
      </c>
      <c r="B4">
        <v>1.8882099999999999</v>
      </c>
      <c r="C4">
        <v>4</v>
      </c>
      <c r="D4" s="13">
        <v>2265.610206626</v>
      </c>
    </row>
    <row r="5" spans="1:4" x14ac:dyDescent="0.3">
      <c r="A5" s="12" t="s">
        <v>26</v>
      </c>
      <c r="B5">
        <v>4.0622795000000007</v>
      </c>
      <c r="C5">
        <v>12</v>
      </c>
      <c r="D5" s="13">
        <v>11278.039981506001</v>
      </c>
    </row>
    <row r="6" spans="1:4" x14ac:dyDescent="0.3">
      <c r="A6" s="12" t="s">
        <v>65</v>
      </c>
      <c r="B6">
        <v>5.6318710000000003</v>
      </c>
      <c r="C6">
        <v>1</v>
      </c>
      <c r="D6" s="13">
        <v>798.64999463900006</v>
      </c>
    </row>
    <row r="7" spans="1:4" x14ac:dyDescent="0.3">
      <c r="A7" s="12" t="s">
        <v>24</v>
      </c>
      <c r="B7">
        <v>2.6973268181818182</v>
      </c>
      <c r="C7">
        <v>11</v>
      </c>
      <c r="D7" s="13">
        <v>6629.6097734990008</v>
      </c>
    </row>
    <row r="8" spans="1:4" x14ac:dyDescent="0.3">
      <c r="A8" s="12" t="s">
        <v>32</v>
      </c>
      <c r="B8">
        <v>0.42274175000000003</v>
      </c>
      <c r="C8">
        <v>4</v>
      </c>
      <c r="D8" s="13">
        <v>431.83981763300005</v>
      </c>
    </row>
    <row r="9" spans="1:4" x14ac:dyDescent="0.3">
      <c r="A9" s="12" t="s">
        <v>39</v>
      </c>
      <c r="B9">
        <v>0.75657600000000003</v>
      </c>
      <c r="C9">
        <v>2</v>
      </c>
      <c r="D9" s="13">
        <v>27.240010242</v>
      </c>
    </row>
    <row r="10" spans="1:4" x14ac:dyDescent="0.3">
      <c r="A10" s="12" t="s">
        <v>67</v>
      </c>
      <c r="B10">
        <v>2.7884346764705881</v>
      </c>
      <c r="C10">
        <v>34</v>
      </c>
      <c r="D10" s="13">
        <v>21430.989784144997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8AEF-A0A4-0542-B786-59D4FFEF0DC6}">
  <dimension ref="A1:S41"/>
  <sheetViews>
    <sheetView tabSelected="1" workbookViewId="0">
      <selection activeCell="C3" sqref="C3"/>
    </sheetView>
  </sheetViews>
  <sheetFormatPr defaultColWidth="11.19921875" defaultRowHeight="15.6" x14ac:dyDescent="0.3"/>
  <sheetData>
    <row r="1" spans="1:19" ht="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55.2" x14ac:dyDescent="0.3">
      <c r="A2" s="3">
        <v>44482</v>
      </c>
      <c r="B2" s="3">
        <v>45609</v>
      </c>
      <c r="C2" s="4" t="s">
        <v>19</v>
      </c>
      <c r="D2" s="3">
        <v>44522</v>
      </c>
      <c r="E2" s="3">
        <v>44445</v>
      </c>
      <c r="F2" s="4"/>
      <c r="G2" s="4"/>
      <c r="H2" s="4">
        <v>56133</v>
      </c>
      <c r="I2" s="5">
        <v>4.0199170000000004</v>
      </c>
      <c r="J2" s="4">
        <v>21755</v>
      </c>
      <c r="K2" s="6">
        <f>+H2/J2</f>
        <v>2.5802344288669272</v>
      </c>
      <c r="L2" s="5" t="str">
        <f t="shared" ref="L2:L41" si="0">IFERROR(S2/F2,"")</f>
        <v/>
      </c>
      <c r="M2" s="4">
        <v>223</v>
      </c>
      <c r="N2" s="5">
        <f>IFERROR(S2/M2,"")</f>
        <v>1.011883412381166</v>
      </c>
      <c r="O2" s="7">
        <f>+M2/H2</f>
        <v>3.9727076764113798E-3</v>
      </c>
      <c r="P2" s="4">
        <v>704</v>
      </c>
      <c r="Q2" s="8">
        <f>+P2/H2</f>
        <v>1.2541642171271801E-2</v>
      </c>
      <c r="R2" s="9">
        <f>+S2/J2*1000</f>
        <v>10.372328244587452</v>
      </c>
      <c r="S2" s="10">
        <f>+I2*H2/1000</f>
        <v>225.65000096100002</v>
      </c>
    </row>
    <row r="3" spans="1:19" ht="55.2" x14ac:dyDescent="0.3">
      <c r="A3" s="3">
        <v>44482</v>
      </c>
      <c r="B3" s="3">
        <v>45609</v>
      </c>
      <c r="C3" s="4" t="s">
        <v>20</v>
      </c>
      <c r="D3" s="4" t="s">
        <v>21</v>
      </c>
      <c r="E3" s="3">
        <v>44470</v>
      </c>
      <c r="F3" s="4"/>
      <c r="G3" s="4"/>
      <c r="H3" s="4">
        <v>151737</v>
      </c>
      <c r="I3" s="5">
        <v>2.4278849999999998</v>
      </c>
      <c r="J3" s="4">
        <v>31214</v>
      </c>
      <c r="K3" s="6">
        <f t="shared" ref="K3:K41" si="1">+H3/J3</f>
        <v>4.8611840840648428</v>
      </c>
      <c r="L3" s="5" t="str">
        <f t="shared" si="0"/>
        <v/>
      </c>
      <c r="M3" s="4">
        <v>1563</v>
      </c>
      <c r="N3" s="5">
        <f t="shared" ref="N3:N41" si="2">IFERROR(S3/M3,"")</f>
        <v>0.23570056701535508</v>
      </c>
      <c r="O3" s="7">
        <f t="shared" ref="O3:O15" si="3">+M3/H3</f>
        <v>1.0300717689159532E-2</v>
      </c>
      <c r="P3" s="4">
        <v>4026</v>
      </c>
      <c r="Q3" s="8">
        <f t="shared" ref="Q3:Q41" si="4">+P3/H3</f>
        <v>2.6532750746357185E-2</v>
      </c>
      <c r="R3" s="9">
        <f t="shared" ref="R3:R41" si="5">+S3/J3*1000</f>
        <v>11.802395919939771</v>
      </c>
      <c r="S3" s="10">
        <f t="shared" ref="S3:S41" si="6">+I3*H3/1000</f>
        <v>368.39998624499998</v>
      </c>
    </row>
    <row r="4" spans="1:19" ht="55.2" x14ac:dyDescent="0.3">
      <c r="A4" s="3">
        <v>44482</v>
      </c>
      <c r="B4" s="3">
        <v>45609</v>
      </c>
      <c r="C4" s="4" t="s">
        <v>22</v>
      </c>
      <c r="D4" s="3">
        <v>44520</v>
      </c>
      <c r="E4" s="3">
        <v>44480</v>
      </c>
      <c r="F4" s="4"/>
      <c r="G4" s="4"/>
      <c r="H4" s="4">
        <v>23659</v>
      </c>
      <c r="I4" s="5">
        <v>3.4523860000000002</v>
      </c>
      <c r="J4" s="4">
        <v>13434</v>
      </c>
      <c r="K4" s="6">
        <f t="shared" si="1"/>
        <v>1.7611284799761799</v>
      </c>
      <c r="L4" s="5" t="str">
        <f t="shared" si="0"/>
        <v/>
      </c>
      <c r="M4" s="4">
        <v>73</v>
      </c>
      <c r="N4" s="5">
        <f t="shared" si="2"/>
        <v>1.1189041147123291</v>
      </c>
      <c r="O4" s="7">
        <f t="shared" si="3"/>
        <v>3.0855065725516719E-3</v>
      </c>
      <c r="P4" s="4">
        <v>113</v>
      </c>
      <c r="Q4" s="8">
        <f t="shared" si="4"/>
        <v>4.7761951054566976E-3</v>
      </c>
      <c r="R4" s="9">
        <f t="shared" si="5"/>
        <v>6.0800953084710443</v>
      </c>
      <c r="S4" s="10">
        <f t="shared" si="6"/>
        <v>81.680000374000016</v>
      </c>
    </row>
    <row r="5" spans="1:19" ht="27.6" x14ac:dyDescent="0.3">
      <c r="A5" s="3">
        <v>44482</v>
      </c>
      <c r="B5" s="3">
        <v>45609</v>
      </c>
      <c r="C5" s="4" t="s">
        <v>23</v>
      </c>
      <c r="D5" s="3">
        <v>44926</v>
      </c>
      <c r="E5" s="3">
        <v>44659</v>
      </c>
      <c r="F5" s="4">
        <v>17714</v>
      </c>
      <c r="G5" s="4" t="s">
        <v>24</v>
      </c>
      <c r="H5" s="4">
        <v>387692</v>
      </c>
      <c r="I5" s="5">
        <v>1.5765610000000001</v>
      </c>
      <c r="J5" s="4">
        <v>106528</v>
      </c>
      <c r="K5" s="6">
        <f t="shared" si="1"/>
        <v>3.6393436467407629</v>
      </c>
      <c r="L5" s="5">
        <f t="shared" si="0"/>
        <v>3.4504916292875693E-2</v>
      </c>
      <c r="M5" s="4">
        <v>1653</v>
      </c>
      <c r="N5" s="5">
        <f t="shared" si="2"/>
        <v>0.36976411809558385</v>
      </c>
      <c r="O5" s="7">
        <f t="shared" si="3"/>
        <v>4.2636938600744924E-3</v>
      </c>
      <c r="P5" s="4">
        <v>14350</v>
      </c>
      <c r="Q5" s="8">
        <f t="shared" si="4"/>
        <v>3.7013918265014496E-2</v>
      </c>
      <c r="R5" s="9">
        <f t="shared" si="5"/>
        <v>5.7376472590492646</v>
      </c>
      <c r="S5" s="10">
        <f t="shared" si="6"/>
        <v>611.22008721200007</v>
      </c>
    </row>
    <row r="6" spans="1:19" ht="55.2" x14ac:dyDescent="0.3">
      <c r="A6" s="3">
        <v>44482</v>
      </c>
      <c r="B6" s="3">
        <v>45609</v>
      </c>
      <c r="C6" s="4" t="s">
        <v>25</v>
      </c>
      <c r="D6" s="4" t="s">
        <v>21</v>
      </c>
      <c r="E6" s="3">
        <v>44697</v>
      </c>
      <c r="F6" s="4">
        <v>330</v>
      </c>
      <c r="G6" s="4" t="s">
        <v>26</v>
      </c>
      <c r="H6" s="4">
        <v>533658</v>
      </c>
      <c r="I6" s="5">
        <v>2.4336929999999999</v>
      </c>
      <c r="J6" s="4">
        <v>88951</v>
      </c>
      <c r="K6" s="6">
        <f t="shared" si="1"/>
        <v>5.9994603770615287</v>
      </c>
      <c r="L6" s="5">
        <f t="shared" si="0"/>
        <v>3.9356355727090908</v>
      </c>
      <c r="M6" s="4">
        <v>4188</v>
      </c>
      <c r="N6" s="5">
        <f t="shared" si="2"/>
        <v>0.31011455085816619</v>
      </c>
      <c r="O6" s="7">
        <f t="shared" si="3"/>
        <v>7.8477226988071004E-3</v>
      </c>
      <c r="P6" s="4">
        <v>7777</v>
      </c>
      <c r="Q6" s="8">
        <f t="shared" si="4"/>
        <v>1.457300368400736E-2</v>
      </c>
      <c r="R6" s="9">
        <f t="shared" si="5"/>
        <v>14.600844723432001</v>
      </c>
      <c r="S6" s="10">
        <f t="shared" si="6"/>
        <v>1298.7597389939999</v>
      </c>
    </row>
    <row r="7" spans="1:19" ht="41.4" x14ac:dyDescent="0.3">
      <c r="A7" s="3">
        <v>44482</v>
      </c>
      <c r="B7" s="3">
        <v>45609</v>
      </c>
      <c r="C7" s="4" t="s">
        <v>27</v>
      </c>
      <c r="D7" s="3">
        <v>44798</v>
      </c>
      <c r="E7" s="3">
        <v>44699</v>
      </c>
      <c r="F7" s="4">
        <v>662</v>
      </c>
      <c r="G7" s="4" t="s">
        <v>28</v>
      </c>
      <c r="H7" s="4">
        <v>165698</v>
      </c>
      <c r="I7" s="5">
        <v>1.508769</v>
      </c>
      <c r="J7" s="4">
        <v>43568</v>
      </c>
      <c r="K7" s="6">
        <f t="shared" si="1"/>
        <v>3.8032041865589425</v>
      </c>
      <c r="L7" s="5">
        <f t="shared" si="0"/>
        <v>0.3776435132356496</v>
      </c>
      <c r="M7" s="4">
        <v>1560</v>
      </c>
      <c r="N7" s="5">
        <f t="shared" si="2"/>
        <v>0.16025641395000001</v>
      </c>
      <c r="O7" s="7">
        <f t="shared" si="3"/>
        <v>9.4147183430095711E-3</v>
      </c>
      <c r="P7" s="4">
        <v>2429</v>
      </c>
      <c r="Q7" s="8">
        <f t="shared" si="4"/>
        <v>1.4659199266134775E-2</v>
      </c>
      <c r="R7" s="9">
        <f t="shared" si="5"/>
        <v>5.7381565773503489</v>
      </c>
      <c r="S7" s="10">
        <f t="shared" si="6"/>
        <v>250.00000576200003</v>
      </c>
    </row>
    <row r="8" spans="1:19" ht="69" x14ac:dyDescent="0.3">
      <c r="A8" s="3">
        <v>44482</v>
      </c>
      <c r="B8" s="3">
        <v>45609</v>
      </c>
      <c r="C8" s="4" t="s">
        <v>29</v>
      </c>
      <c r="D8" s="3">
        <v>45016</v>
      </c>
      <c r="E8" s="3">
        <v>44964</v>
      </c>
      <c r="F8" s="4">
        <v>5</v>
      </c>
      <c r="G8" s="4" t="s">
        <v>26</v>
      </c>
      <c r="H8" s="4">
        <v>54916</v>
      </c>
      <c r="I8" s="5">
        <v>4.2399300000000002</v>
      </c>
      <c r="J8" s="4">
        <v>18805</v>
      </c>
      <c r="K8" s="6">
        <f t="shared" si="1"/>
        <v>2.920287157670832</v>
      </c>
      <c r="L8" s="5">
        <f t="shared" si="0"/>
        <v>46.567999176000001</v>
      </c>
      <c r="M8" s="4">
        <v>330</v>
      </c>
      <c r="N8" s="5">
        <f t="shared" si="2"/>
        <v>0.70557574509090915</v>
      </c>
      <c r="O8" s="7">
        <f t="shared" si="3"/>
        <v>6.0091776531429816E-3</v>
      </c>
      <c r="P8" s="4">
        <v>907</v>
      </c>
      <c r="Q8" s="8">
        <f t="shared" si="4"/>
        <v>1.6516133731517228E-2</v>
      </c>
      <c r="R8" s="9">
        <f t="shared" si="5"/>
        <v>12.381813128423291</v>
      </c>
      <c r="S8" s="10">
        <f t="shared" si="6"/>
        <v>232.83999588</v>
      </c>
    </row>
    <row r="9" spans="1:19" ht="55.2" x14ac:dyDescent="0.3">
      <c r="A9" s="3">
        <v>44482</v>
      </c>
      <c r="B9" s="3">
        <v>45609</v>
      </c>
      <c r="C9" s="4" t="s">
        <v>30</v>
      </c>
      <c r="D9" s="3">
        <v>45107</v>
      </c>
      <c r="E9" s="3">
        <v>44964</v>
      </c>
      <c r="F9" s="4">
        <v>6653</v>
      </c>
      <c r="G9" s="4" t="s">
        <v>24</v>
      </c>
      <c r="H9" s="4">
        <v>388853</v>
      </c>
      <c r="I9" s="5">
        <v>1.673897</v>
      </c>
      <c r="J9" s="4">
        <v>72881</v>
      </c>
      <c r="K9" s="6">
        <f t="shared" si="1"/>
        <v>5.3354509405743613</v>
      </c>
      <c r="L9" s="5">
        <f t="shared" si="0"/>
        <v>9.7835543385089443E-2</v>
      </c>
      <c r="M9" s="4">
        <v>2054</v>
      </c>
      <c r="N9" s="5">
        <f t="shared" si="2"/>
        <v>0.31689380240555015</v>
      </c>
      <c r="O9" s="7">
        <f t="shared" si="3"/>
        <v>5.2822017574764759E-3</v>
      </c>
      <c r="P9" s="4">
        <v>9858</v>
      </c>
      <c r="Q9" s="8">
        <f t="shared" si="4"/>
        <v>2.5351482436807741E-2</v>
      </c>
      <c r="R9" s="9">
        <f t="shared" si="5"/>
        <v>8.9309953230746029</v>
      </c>
      <c r="S9" s="10">
        <f t="shared" si="6"/>
        <v>650.89987014100006</v>
      </c>
    </row>
    <row r="10" spans="1:19" ht="69" x14ac:dyDescent="0.3">
      <c r="A10" s="3">
        <v>44482</v>
      </c>
      <c r="B10" s="3">
        <v>45609</v>
      </c>
      <c r="C10" s="4" t="s">
        <v>31</v>
      </c>
      <c r="D10" s="3">
        <v>45260</v>
      </c>
      <c r="E10" s="3">
        <v>44964</v>
      </c>
      <c r="F10" s="4">
        <v>58261</v>
      </c>
      <c r="G10" s="4" t="s">
        <v>32</v>
      </c>
      <c r="H10" s="4">
        <v>125821</v>
      </c>
      <c r="I10" s="5">
        <v>0.36202200000000001</v>
      </c>
      <c r="J10" s="4">
        <v>58261</v>
      </c>
      <c r="K10" s="6">
        <f t="shared" si="1"/>
        <v>2.1596093441581847</v>
      </c>
      <c r="L10" s="5">
        <f t="shared" si="0"/>
        <v>7.8182609399083433E-4</v>
      </c>
      <c r="M10" s="4">
        <v>106</v>
      </c>
      <c r="N10" s="5">
        <f t="shared" si="2"/>
        <v>0.42971669869811319</v>
      </c>
      <c r="O10" s="7">
        <f t="shared" si="3"/>
        <v>8.4246667885329155E-4</v>
      </c>
      <c r="P10" s="4">
        <v>192</v>
      </c>
      <c r="Q10" s="8">
        <f t="shared" si="4"/>
        <v>1.5259773805644528E-3</v>
      </c>
      <c r="R10" s="9">
        <f t="shared" si="5"/>
        <v>0.78182609399083436</v>
      </c>
      <c r="S10" s="10">
        <f t="shared" si="6"/>
        <v>45.549970062</v>
      </c>
    </row>
    <row r="11" spans="1:19" ht="55.2" x14ac:dyDescent="0.3">
      <c r="A11" s="3">
        <v>44482</v>
      </c>
      <c r="B11" s="3">
        <v>45609</v>
      </c>
      <c r="C11" s="4" t="s">
        <v>33</v>
      </c>
      <c r="D11" s="3">
        <v>45107</v>
      </c>
      <c r="E11" s="3">
        <v>44964</v>
      </c>
      <c r="F11" s="4">
        <v>4727</v>
      </c>
      <c r="G11" s="4" t="s">
        <v>24</v>
      </c>
      <c r="H11" s="4">
        <v>127589</v>
      </c>
      <c r="I11" s="5">
        <v>5.0963640000000003</v>
      </c>
      <c r="J11" s="4">
        <v>22103</v>
      </c>
      <c r="K11" s="6">
        <f t="shared" si="1"/>
        <v>5.772474324752296</v>
      </c>
      <c r="L11" s="5">
        <f t="shared" si="0"/>
        <v>0.13755870243198648</v>
      </c>
      <c r="M11" s="4">
        <v>8</v>
      </c>
      <c r="N11" s="5">
        <f t="shared" si="2"/>
        <v>81.279998299500008</v>
      </c>
      <c r="O11" s="7">
        <f t="shared" si="3"/>
        <v>6.2701330051963727E-5</v>
      </c>
      <c r="P11" s="4">
        <v>224</v>
      </c>
      <c r="Q11" s="8">
        <f t="shared" si="4"/>
        <v>1.7556372414549843E-3</v>
      </c>
      <c r="R11" s="9">
        <f t="shared" si="5"/>
        <v>29.418630339591914</v>
      </c>
      <c r="S11" s="10">
        <f t="shared" si="6"/>
        <v>650.23998639600006</v>
      </c>
    </row>
    <row r="12" spans="1:19" ht="69" x14ac:dyDescent="0.3">
      <c r="A12" s="3">
        <v>44482</v>
      </c>
      <c r="B12" s="3">
        <v>45609</v>
      </c>
      <c r="C12" s="4" t="s">
        <v>34</v>
      </c>
      <c r="D12" s="3">
        <v>45260</v>
      </c>
      <c r="E12" s="3">
        <v>44964</v>
      </c>
      <c r="F12" s="4">
        <v>54526</v>
      </c>
      <c r="G12" s="4" t="s">
        <v>32</v>
      </c>
      <c r="H12" s="4">
        <v>110376</v>
      </c>
      <c r="I12" s="5">
        <v>0.410325</v>
      </c>
      <c r="J12" s="4">
        <v>54526</v>
      </c>
      <c r="K12" s="6">
        <f t="shared" si="1"/>
        <v>2.0242819939111616</v>
      </c>
      <c r="L12" s="5">
        <f t="shared" si="0"/>
        <v>8.3061350915159741E-4</v>
      </c>
      <c r="M12" s="4">
        <v>29</v>
      </c>
      <c r="N12" s="5">
        <f t="shared" si="2"/>
        <v>1.5617252482758621</v>
      </c>
      <c r="O12" s="7">
        <f t="shared" si="3"/>
        <v>2.6273827643690656E-4</v>
      </c>
      <c r="P12" s="4">
        <v>71</v>
      </c>
      <c r="Q12" s="8">
        <f t="shared" si="4"/>
        <v>6.4325578024208158E-4</v>
      </c>
      <c r="R12" s="9">
        <f t="shared" si="5"/>
        <v>0.83061350915159737</v>
      </c>
      <c r="S12" s="10">
        <f t="shared" si="6"/>
        <v>45.290032199999999</v>
      </c>
    </row>
    <row r="13" spans="1:19" ht="69" x14ac:dyDescent="0.3">
      <c r="A13" s="3">
        <v>44482</v>
      </c>
      <c r="B13" s="3">
        <v>45609</v>
      </c>
      <c r="C13" s="4" t="s">
        <v>35</v>
      </c>
      <c r="D13" s="3">
        <v>45016</v>
      </c>
      <c r="E13" s="3">
        <v>44972</v>
      </c>
      <c r="F13" s="4">
        <v>1</v>
      </c>
      <c r="G13" s="4" t="s">
        <v>26</v>
      </c>
      <c r="H13" s="4">
        <v>16517</v>
      </c>
      <c r="I13" s="5">
        <v>3.6114310000000001</v>
      </c>
      <c r="J13" s="4">
        <v>9646</v>
      </c>
      <c r="K13" s="6">
        <f t="shared" si="1"/>
        <v>1.7123159859008916</v>
      </c>
      <c r="L13" s="5">
        <f t="shared" si="0"/>
        <v>59.650005827000001</v>
      </c>
      <c r="M13" s="4">
        <v>84</v>
      </c>
      <c r="N13" s="5">
        <f t="shared" si="2"/>
        <v>0.71011911698809527</v>
      </c>
      <c r="O13" s="7">
        <f t="shared" si="3"/>
        <v>5.0856693104074594E-3</v>
      </c>
      <c r="P13" s="4">
        <v>211</v>
      </c>
      <c r="Q13" s="8">
        <f t="shared" si="4"/>
        <v>1.2774716958285403E-2</v>
      </c>
      <c r="R13" s="9">
        <f t="shared" si="5"/>
        <v>6.1839110332780427</v>
      </c>
      <c r="S13" s="10">
        <f t="shared" si="6"/>
        <v>59.650005827000001</v>
      </c>
    </row>
    <row r="14" spans="1:19" ht="82.8" x14ac:dyDescent="0.3">
      <c r="A14" s="3">
        <v>44482</v>
      </c>
      <c r="B14" s="3">
        <v>45609</v>
      </c>
      <c r="C14" s="4" t="s">
        <v>36</v>
      </c>
      <c r="D14" s="3">
        <v>45016</v>
      </c>
      <c r="E14" s="3">
        <v>44994</v>
      </c>
      <c r="F14" s="4">
        <v>2</v>
      </c>
      <c r="G14" s="4" t="s">
        <v>26</v>
      </c>
      <c r="H14" s="4">
        <v>9436</v>
      </c>
      <c r="I14" s="5">
        <v>4.1341669999999997</v>
      </c>
      <c r="J14" s="4">
        <v>1437</v>
      </c>
      <c r="K14" s="6">
        <f t="shared" si="1"/>
        <v>6.5664578983994435</v>
      </c>
      <c r="L14" s="5">
        <f t="shared" si="0"/>
        <v>19.504999905999998</v>
      </c>
      <c r="M14" s="4">
        <v>43</v>
      </c>
      <c r="N14" s="5">
        <f t="shared" si="2"/>
        <v>0.90720929795348826</v>
      </c>
      <c r="O14" s="7">
        <f t="shared" si="3"/>
        <v>4.5570156846121241E-3</v>
      </c>
      <c r="P14" s="4">
        <v>158</v>
      </c>
      <c r="Q14" s="8">
        <f t="shared" si="4"/>
        <v>1.6744383213225942E-2</v>
      </c>
      <c r="R14" s="9">
        <f t="shared" si="5"/>
        <v>27.146833550452328</v>
      </c>
      <c r="S14" s="10">
        <f t="shared" si="6"/>
        <v>39.009999811999997</v>
      </c>
    </row>
    <row r="15" spans="1:19" ht="69" x14ac:dyDescent="0.3">
      <c r="A15" s="3">
        <v>44482</v>
      </c>
      <c r="B15" s="3">
        <v>45609</v>
      </c>
      <c r="C15" s="4" t="s">
        <v>37</v>
      </c>
      <c r="D15" s="3">
        <v>45077</v>
      </c>
      <c r="E15" s="3">
        <v>45015</v>
      </c>
      <c r="F15" s="4">
        <v>5</v>
      </c>
      <c r="G15" s="4" t="s">
        <v>26</v>
      </c>
      <c r="H15" s="4">
        <v>209287</v>
      </c>
      <c r="I15" s="5">
        <v>3.5599440000000002</v>
      </c>
      <c r="J15" s="4">
        <v>49440</v>
      </c>
      <c r="K15" s="6">
        <f t="shared" si="1"/>
        <v>4.2331512944983816</v>
      </c>
      <c r="L15" s="5">
        <f t="shared" si="0"/>
        <v>149.00999998560002</v>
      </c>
      <c r="M15" s="4">
        <v>1334</v>
      </c>
      <c r="N15" s="5">
        <f t="shared" si="2"/>
        <v>0.55850824582308845</v>
      </c>
      <c r="O15" s="7">
        <f t="shared" si="3"/>
        <v>6.3740222756310709E-3</v>
      </c>
      <c r="P15" s="4">
        <v>2801</v>
      </c>
      <c r="Q15" s="8">
        <f t="shared" si="4"/>
        <v>1.3383535527768088E-2</v>
      </c>
      <c r="R15" s="9">
        <f t="shared" si="5"/>
        <v>15.069781551941748</v>
      </c>
      <c r="S15" s="10">
        <f t="shared" si="6"/>
        <v>745.04999992800003</v>
      </c>
    </row>
    <row r="16" spans="1:19" ht="41.4" x14ac:dyDescent="0.3">
      <c r="A16" s="3">
        <v>44482</v>
      </c>
      <c r="B16" s="3">
        <v>45609</v>
      </c>
      <c r="C16" s="4" t="s">
        <v>38</v>
      </c>
      <c r="D16" s="3">
        <v>45027</v>
      </c>
      <c r="E16" s="3">
        <v>45021</v>
      </c>
      <c r="F16" s="4">
        <v>2435</v>
      </c>
      <c r="G16" s="4" t="s">
        <v>39</v>
      </c>
      <c r="H16" s="4">
        <v>12904</v>
      </c>
      <c r="I16" s="5">
        <v>0.73620600000000003</v>
      </c>
      <c r="J16" s="4">
        <v>10096</v>
      </c>
      <c r="K16" s="6">
        <f t="shared" si="1"/>
        <v>1.2781299524564185</v>
      </c>
      <c r="L16" s="5">
        <f t="shared" si="0"/>
        <v>3.9014382850102668E-3</v>
      </c>
      <c r="M16" s="4"/>
      <c r="N16" s="5" t="str">
        <f t="shared" si="2"/>
        <v/>
      </c>
      <c r="O16" s="7">
        <f>+M16/H16</f>
        <v>0</v>
      </c>
      <c r="P16" s="4">
        <v>95</v>
      </c>
      <c r="Q16" s="8">
        <f t="shared" si="4"/>
        <v>7.3620582765034099E-3</v>
      </c>
      <c r="R16" s="9">
        <f t="shared" si="5"/>
        <v>0.94096693977812984</v>
      </c>
      <c r="S16" s="10">
        <f t="shared" si="6"/>
        <v>9.5000022239999993</v>
      </c>
    </row>
    <row r="17" spans="1:19" ht="82.8" x14ac:dyDescent="0.3">
      <c r="A17" s="3">
        <v>44482</v>
      </c>
      <c r="B17" s="3">
        <v>45609</v>
      </c>
      <c r="C17" s="4" t="s">
        <v>40</v>
      </c>
      <c r="D17" s="3">
        <v>45077</v>
      </c>
      <c r="E17" s="3">
        <v>45027</v>
      </c>
      <c r="F17" s="4"/>
      <c r="G17" s="4"/>
      <c r="H17" s="4">
        <v>20244</v>
      </c>
      <c r="I17" s="5">
        <v>4.4600869999999997</v>
      </c>
      <c r="J17" s="4">
        <v>1971</v>
      </c>
      <c r="K17" s="6">
        <f t="shared" si="1"/>
        <v>10.270928462709284</v>
      </c>
      <c r="L17" s="5" t="str">
        <f t="shared" si="0"/>
        <v/>
      </c>
      <c r="M17" s="4">
        <v>112</v>
      </c>
      <c r="N17" s="5">
        <f t="shared" si="2"/>
        <v>0.80616072524999993</v>
      </c>
      <c r="O17" s="7">
        <f>+M17/H17</f>
        <v>5.5325034578146614E-3</v>
      </c>
      <c r="P17" s="4">
        <v>230</v>
      </c>
      <c r="Q17" s="8">
        <f t="shared" si="4"/>
        <v>1.1361391029440822E-2</v>
      </c>
      <c r="R17" s="9">
        <f t="shared" si="5"/>
        <v>45.809234514459661</v>
      </c>
      <c r="S17" s="10">
        <f t="shared" si="6"/>
        <v>90.290001227999994</v>
      </c>
    </row>
    <row r="18" spans="1:19" ht="82.8" x14ac:dyDescent="0.3">
      <c r="A18" s="3">
        <v>44482</v>
      </c>
      <c r="B18" s="3">
        <v>45609</v>
      </c>
      <c r="C18" s="4" t="s">
        <v>41</v>
      </c>
      <c r="D18" s="3">
        <v>45107</v>
      </c>
      <c r="E18" s="3">
        <v>45057</v>
      </c>
      <c r="F18" s="4">
        <v>8</v>
      </c>
      <c r="G18" s="4" t="s">
        <v>26</v>
      </c>
      <c r="H18" s="4">
        <v>28049</v>
      </c>
      <c r="I18" s="5">
        <v>5.2935930000000004</v>
      </c>
      <c r="J18" s="4">
        <v>2565</v>
      </c>
      <c r="K18" s="6">
        <f t="shared" si="1"/>
        <v>10.935282651072125</v>
      </c>
      <c r="L18" s="5">
        <f t="shared" si="0"/>
        <v>18.559998757125001</v>
      </c>
      <c r="M18" s="4">
        <v>122</v>
      </c>
      <c r="N18" s="5">
        <f t="shared" si="2"/>
        <v>1.2170490988278688</v>
      </c>
      <c r="O18" s="7">
        <f t="shared" ref="O18:O25" si="7">+M18/H18</f>
        <v>4.3495311775820882E-3</v>
      </c>
      <c r="P18" s="4">
        <v>210</v>
      </c>
      <c r="Q18" s="8">
        <f t="shared" si="4"/>
        <v>7.4868979286249063E-3</v>
      </c>
      <c r="R18" s="9">
        <f t="shared" si="5"/>
        <v>57.886935694736842</v>
      </c>
      <c r="S18" s="10">
        <f t="shared" si="6"/>
        <v>148.47999005700001</v>
      </c>
    </row>
    <row r="19" spans="1:19" ht="69" x14ac:dyDescent="0.3">
      <c r="A19" s="3">
        <v>44482</v>
      </c>
      <c r="B19" s="3">
        <v>45609</v>
      </c>
      <c r="C19" s="4" t="s">
        <v>42</v>
      </c>
      <c r="D19" s="3">
        <v>45107</v>
      </c>
      <c r="E19" s="3">
        <v>45057</v>
      </c>
      <c r="F19" s="4">
        <v>50</v>
      </c>
      <c r="G19" s="4" t="s">
        <v>26</v>
      </c>
      <c r="H19" s="4">
        <v>319045</v>
      </c>
      <c r="I19" s="5">
        <v>3.8789199999999999</v>
      </c>
      <c r="J19" s="4">
        <v>57490</v>
      </c>
      <c r="K19" s="6">
        <f t="shared" si="1"/>
        <v>5.5495738389285094</v>
      </c>
      <c r="L19" s="5">
        <f t="shared" si="0"/>
        <v>24.751000628</v>
      </c>
      <c r="M19" s="4">
        <v>1096</v>
      </c>
      <c r="N19" s="5">
        <f t="shared" si="2"/>
        <v>1.1291514885036498</v>
      </c>
      <c r="O19" s="7">
        <f t="shared" si="7"/>
        <v>3.4352520804275259E-3</v>
      </c>
      <c r="P19" s="4">
        <v>1764</v>
      </c>
      <c r="Q19" s="8">
        <f t="shared" si="4"/>
        <v>5.5290006111990472E-3</v>
      </c>
      <c r="R19" s="9">
        <f t="shared" si="5"/>
        <v>21.526352955296574</v>
      </c>
      <c r="S19" s="10">
        <f t="shared" si="6"/>
        <v>1237.5500314000001</v>
      </c>
    </row>
    <row r="20" spans="1:19" ht="69" x14ac:dyDescent="0.3">
      <c r="A20" s="3">
        <v>44482</v>
      </c>
      <c r="B20" s="3">
        <v>45609</v>
      </c>
      <c r="C20" s="4" t="s">
        <v>43</v>
      </c>
      <c r="D20" s="3">
        <v>45169</v>
      </c>
      <c r="E20" s="3">
        <v>45108</v>
      </c>
      <c r="F20" s="4">
        <v>2843</v>
      </c>
      <c r="G20" s="4" t="s">
        <v>24</v>
      </c>
      <c r="H20" s="4">
        <v>68370</v>
      </c>
      <c r="I20" s="5">
        <v>4.240164</v>
      </c>
      <c r="J20" s="4">
        <v>21681</v>
      </c>
      <c r="K20" s="6">
        <f t="shared" si="1"/>
        <v>3.1534523315345235</v>
      </c>
      <c r="L20" s="5">
        <f t="shared" si="0"/>
        <v>0.10196975472388321</v>
      </c>
      <c r="M20" s="4">
        <v>107</v>
      </c>
      <c r="N20" s="5">
        <f t="shared" si="2"/>
        <v>2.709345912897196</v>
      </c>
      <c r="O20" s="7">
        <f t="shared" si="7"/>
        <v>1.5650138949831797E-3</v>
      </c>
      <c r="P20" s="4">
        <v>197</v>
      </c>
      <c r="Q20" s="8">
        <f t="shared" si="4"/>
        <v>2.8813807225391255E-3</v>
      </c>
      <c r="R20" s="9">
        <f t="shared" si="5"/>
        <v>13.371155051888749</v>
      </c>
      <c r="S20" s="10">
        <f t="shared" si="6"/>
        <v>289.90001267999997</v>
      </c>
    </row>
    <row r="21" spans="1:19" ht="69" x14ac:dyDescent="0.3">
      <c r="A21" s="3">
        <v>44482</v>
      </c>
      <c r="B21" s="3">
        <v>45609</v>
      </c>
      <c r="C21" s="4" t="s">
        <v>44</v>
      </c>
      <c r="D21" s="3">
        <v>45169</v>
      </c>
      <c r="E21" s="3">
        <v>45108</v>
      </c>
      <c r="F21" s="4">
        <v>2644</v>
      </c>
      <c r="G21" s="4" t="s">
        <v>24</v>
      </c>
      <c r="H21" s="4">
        <v>279631</v>
      </c>
      <c r="I21" s="5">
        <v>1.0387980000000001</v>
      </c>
      <c r="J21" s="4">
        <v>73345</v>
      </c>
      <c r="K21" s="6">
        <f t="shared" si="1"/>
        <v>3.8125434589951599</v>
      </c>
      <c r="L21" s="5">
        <f t="shared" si="0"/>
        <v>0.10986388938653557</v>
      </c>
      <c r="M21" s="4">
        <v>606</v>
      </c>
      <c r="N21" s="5">
        <f t="shared" si="2"/>
        <v>0.47934013785148522</v>
      </c>
      <c r="O21" s="7">
        <f t="shared" si="7"/>
        <v>2.1671416974512838E-3</v>
      </c>
      <c r="P21" s="4">
        <v>3850</v>
      </c>
      <c r="Q21" s="8">
        <f t="shared" si="4"/>
        <v>1.3768144447504032E-2</v>
      </c>
      <c r="R21" s="9">
        <f t="shared" si="5"/>
        <v>3.9604625201172543</v>
      </c>
      <c r="S21" s="10">
        <f t="shared" si="6"/>
        <v>290.48012353800004</v>
      </c>
    </row>
    <row r="22" spans="1:19" ht="82.8" x14ac:dyDescent="0.3">
      <c r="A22" s="3">
        <v>44482</v>
      </c>
      <c r="B22" s="3">
        <v>45609</v>
      </c>
      <c r="C22" s="4" t="s">
        <v>45</v>
      </c>
      <c r="D22" s="3">
        <v>45169</v>
      </c>
      <c r="E22" s="3">
        <v>45108</v>
      </c>
      <c r="F22" s="4">
        <v>168</v>
      </c>
      <c r="G22" s="4" t="s">
        <v>28</v>
      </c>
      <c r="H22" s="4">
        <v>70867</v>
      </c>
      <c r="I22" s="5">
        <v>1.8417600000000001</v>
      </c>
      <c r="J22" s="4">
        <v>26464</v>
      </c>
      <c r="K22" s="6">
        <f t="shared" si="1"/>
        <v>2.6778642684401452</v>
      </c>
      <c r="L22" s="5">
        <f t="shared" si="0"/>
        <v>0.77690479714285721</v>
      </c>
      <c r="M22" s="4">
        <v>749</v>
      </c>
      <c r="N22" s="5">
        <f t="shared" si="2"/>
        <v>0.1742590199198932</v>
      </c>
      <c r="O22" s="7">
        <f t="shared" si="7"/>
        <v>1.0569094218747795E-2</v>
      </c>
      <c r="P22" s="4">
        <v>1080</v>
      </c>
      <c r="Q22" s="8">
        <f t="shared" si="4"/>
        <v>1.5239815428902027E-2</v>
      </c>
      <c r="R22" s="9">
        <f t="shared" si="5"/>
        <v>4.9319832950423219</v>
      </c>
      <c r="S22" s="10">
        <f t="shared" si="6"/>
        <v>130.52000592000002</v>
      </c>
    </row>
    <row r="23" spans="1:19" ht="41.4" x14ac:dyDescent="0.3">
      <c r="A23" s="3">
        <v>44482</v>
      </c>
      <c r="B23" s="3">
        <v>45609</v>
      </c>
      <c r="C23" s="4" t="s">
        <v>46</v>
      </c>
      <c r="D23" s="3">
        <v>45199</v>
      </c>
      <c r="E23" s="3">
        <v>45166</v>
      </c>
      <c r="F23" s="4">
        <v>3823</v>
      </c>
      <c r="G23" s="4" t="s">
        <v>24</v>
      </c>
      <c r="H23" s="4">
        <v>355818</v>
      </c>
      <c r="I23" s="5">
        <v>1.2174480000000001</v>
      </c>
      <c r="J23" s="4">
        <v>85320</v>
      </c>
      <c r="K23" s="6">
        <f t="shared" si="1"/>
        <v>4.1703938115330521</v>
      </c>
      <c r="L23" s="5">
        <f t="shared" si="0"/>
        <v>0.11331151254616793</v>
      </c>
      <c r="M23" s="4">
        <v>1493</v>
      </c>
      <c r="N23" s="5">
        <f t="shared" si="2"/>
        <v>0.29014729568921638</v>
      </c>
      <c r="O23" s="7">
        <f t="shared" si="7"/>
        <v>4.1959653530737624E-3</v>
      </c>
      <c r="P23" s="4">
        <v>9565</v>
      </c>
      <c r="Q23" s="8">
        <f t="shared" si="4"/>
        <v>2.6881720430107527E-2</v>
      </c>
      <c r="R23" s="9">
        <f t="shared" si="5"/>
        <v>5.0772376050632912</v>
      </c>
      <c r="S23" s="10">
        <f t="shared" si="6"/>
        <v>433.18991246400003</v>
      </c>
    </row>
    <row r="24" spans="1:19" ht="41.4" x14ac:dyDescent="0.3">
      <c r="A24" s="3">
        <v>44482</v>
      </c>
      <c r="B24" s="3">
        <v>45609</v>
      </c>
      <c r="C24" s="4" t="s">
        <v>47</v>
      </c>
      <c r="D24" s="3">
        <v>45199</v>
      </c>
      <c r="E24" s="3">
        <v>45166</v>
      </c>
      <c r="F24" s="4">
        <v>2848</v>
      </c>
      <c r="G24" s="4" t="s">
        <v>24</v>
      </c>
      <c r="H24" s="4">
        <v>112764</v>
      </c>
      <c r="I24" s="5">
        <v>3.8415629999999998</v>
      </c>
      <c r="J24" s="4">
        <v>44422</v>
      </c>
      <c r="K24" s="6">
        <f t="shared" si="1"/>
        <v>2.5384719283238035</v>
      </c>
      <c r="L24" s="5">
        <f t="shared" si="0"/>
        <v>0.1521032338946629</v>
      </c>
      <c r="M24" s="4">
        <v>378</v>
      </c>
      <c r="N24" s="5">
        <f t="shared" si="2"/>
        <v>1.1460053178095237</v>
      </c>
      <c r="O24" s="7">
        <f t="shared" si="7"/>
        <v>3.352133659678621E-3</v>
      </c>
      <c r="P24" s="4">
        <v>619</v>
      </c>
      <c r="Q24" s="8">
        <f t="shared" si="4"/>
        <v>5.4893405696853602E-3</v>
      </c>
      <c r="R24" s="9">
        <f t="shared" si="5"/>
        <v>9.7516998363873757</v>
      </c>
      <c r="S24" s="10">
        <f t="shared" si="6"/>
        <v>433.19001013199994</v>
      </c>
    </row>
    <row r="25" spans="1:19" ht="69" x14ac:dyDescent="0.3">
      <c r="A25" s="3">
        <v>44482</v>
      </c>
      <c r="B25" s="3">
        <v>45609</v>
      </c>
      <c r="C25" s="4" t="s">
        <v>48</v>
      </c>
      <c r="D25" s="3">
        <v>45199</v>
      </c>
      <c r="E25" s="3">
        <v>45166</v>
      </c>
      <c r="F25" s="4">
        <v>70</v>
      </c>
      <c r="G25" s="4" t="s">
        <v>26</v>
      </c>
      <c r="H25" s="4">
        <v>298291</v>
      </c>
      <c r="I25" s="5">
        <v>3.3510900000000001</v>
      </c>
      <c r="J25" s="4">
        <v>50956</v>
      </c>
      <c r="K25" s="6">
        <f t="shared" si="1"/>
        <v>5.8538935552241149</v>
      </c>
      <c r="L25" s="5">
        <f t="shared" si="0"/>
        <v>14.279999817</v>
      </c>
      <c r="M25" s="4">
        <v>1407</v>
      </c>
      <c r="N25" s="5">
        <f t="shared" si="2"/>
        <v>0.71044775208955224</v>
      </c>
      <c r="O25" s="7">
        <f t="shared" si="7"/>
        <v>4.7168704385985496E-3</v>
      </c>
      <c r="P25" s="4">
        <v>3640</v>
      </c>
      <c r="Q25" s="8">
        <f t="shared" si="4"/>
        <v>1.2202848895876845E-2</v>
      </c>
      <c r="R25" s="9">
        <f t="shared" si="5"/>
        <v>19.61692415397598</v>
      </c>
      <c r="S25" s="10">
        <f t="shared" si="6"/>
        <v>999.59998718999998</v>
      </c>
    </row>
    <row r="26" spans="1:19" ht="55.2" x14ac:dyDescent="0.3">
      <c r="A26" s="3">
        <v>44482</v>
      </c>
      <c r="B26" s="3">
        <v>45609</v>
      </c>
      <c r="C26" s="4" t="s">
        <v>49</v>
      </c>
      <c r="D26" s="3">
        <v>45176</v>
      </c>
      <c r="E26" s="3">
        <v>45173</v>
      </c>
      <c r="F26" s="4">
        <v>1739</v>
      </c>
      <c r="G26" s="4" t="s">
        <v>39</v>
      </c>
      <c r="H26" s="4">
        <v>22833</v>
      </c>
      <c r="I26" s="5">
        <v>0.77694600000000003</v>
      </c>
      <c r="J26" s="4">
        <v>16168</v>
      </c>
      <c r="K26" s="6">
        <f t="shared" si="1"/>
        <v>1.4122340425531914</v>
      </c>
      <c r="L26" s="5">
        <f t="shared" si="0"/>
        <v>1.020126970557792E-2</v>
      </c>
      <c r="M26" s="4"/>
      <c r="N26" s="5" t="str">
        <f t="shared" si="2"/>
        <v/>
      </c>
      <c r="O26" s="7">
        <f>+M26/H26</f>
        <v>0</v>
      </c>
      <c r="P26" s="4">
        <v>196</v>
      </c>
      <c r="Q26" s="8">
        <f t="shared" si="4"/>
        <v>8.584066920684974E-3</v>
      </c>
      <c r="R26" s="9">
        <f t="shared" si="5"/>
        <v>1.097229590425532</v>
      </c>
      <c r="S26" s="10">
        <f t="shared" si="6"/>
        <v>17.740008018000001</v>
      </c>
    </row>
    <row r="27" spans="1:19" ht="55.2" x14ac:dyDescent="0.3">
      <c r="A27" s="3">
        <v>44482</v>
      </c>
      <c r="B27" s="3">
        <v>45609</v>
      </c>
      <c r="C27" s="4" t="s">
        <v>50</v>
      </c>
      <c r="D27" s="3">
        <v>45504</v>
      </c>
      <c r="E27" s="3">
        <v>45201</v>
      </c>
      <c r="F27" s="4">
        <v>1702</v>
      </c>
      <c r="G27" s="4" t="s">
        <v>28</v>
      </c>
      <c r="H27" s="4">
        <v>825773</v>
      </c>
      <c r="I27" s="5">
        <v>1.7622519999999999</v>
      </c>
      <c r="J27" s="4">
        <v>132862</v>
      </c>
      <c r="K27" s="6">
        <f t="shared" si="1"/>
        <v>6.2152684740557875</v>
      </c>
      <c r="L27" s="5">
        <f t="shared" si="0"/>
        <v>0.85500594641363103</v>
      </c>
      <c r="M27" s="4">
        <v>5029</v>
      </c>
      <c r="N27" s="5">
        <f t="shared" si="2"/>
        <v>0.28936570308132831</v>
      </c>
      <c r="O27" s="7">
        <f>+M27/H27</f>
        <v>6.0900513821595037E-3</v>
      </c>
      <c r="P27" s="4">
        <v>27024</v>
      </c>
      <c r="Q27" s="8">
        <f t="shared" si="4"/>
        <v>3.2725700646545723E-2</v>
      </c>
      <c r="R27" s="9">
        <f t="shared" si="5"/>
        <v>10.952869298941758</v>
      </c>
      <c r="S27" s="10">
        <f t="shared" si="6"/>
        <v>1455.2201207959999</v>
      </c>
    </row>
    <row r="28" spans="1:19" ht="96.6" x14ac:dyDescent="0.3">
      <c r="A28" s="3">
        <v>44482</v>
      </c>
      <c r="B28" s="3">
        <v>45609</v>
      </c>
      <c r="C28" s="4" t="s">
        <v>51</v>
      </c>
      <c r="D28" s="4" t="s">
        <v>21</v>
      </c>
      <c r="E28" s="3">
        <v>45245</v>
      </c>
      <c r="F28" s="4">
        <v>8088</v>
      </c>
      <c r="G28" s="4" t="s">
        <v>24</v>
      </c>
      <c r="H28" s="4">
        <v>365778</v>
      </c>
      <c r="I28" s="5">
        <v>2.80375</v>
      </c>
      <c r="J28" s="4">
        <v>97297</v>
      </c>
      <c r="K28" s="6">
        <f t="shared" si="1"/>
        <v>3.7593964870448215</v>
      </c>
      <c r="L28" s="5">
        <f t="shared" si="0"/>
        <v>0.12679896977002969</v>
      </c>
      <c r="M28" s="4">
        <v>1109</v>
      </c>
      <c r="N28" s="5">
        <f t="shared" si="2"/>
        <v>0.92475208972046896</v>
      </c>
      <c r="O28" s="7">
        <f t="shared" ref="O28:O40" si="8">+M28/H28</f>
        <v>3.0318936622760252E-3</v>
      </c>
      <c r="P28" s="4">
        <v>5894</v>
      </c>
      <c r="Q28" s="8">
        <f t="shared" si="4"/>
        <v>1.6113598958931375E-2</v>
      </c>
      <c r="R28" s="9">
        <f t="shared" si="5"/>
        <v>10.540407900551919</v>
      </c>
      <c r="S28" s="10">
        <f t="shared" si="6"/>
        <v>1025.5500675000001</v>
      </c>
    </row>
    <row r="29" spans="1:19" ht="55.2" x14ac:dyDescent="0.3">
      <c r="A29" s="3">
        <v>44482</v>
      </c>
      <c r="B29" s="3">
        <v>45609</v>
      </c>
      <c r="C29" s="4" t="s">
        <v>52</v>
      </c>
      <c r="D29" s="3">
        <v>45250</v>
      </c>
      <c r="E29" s="3">
        <v>45231</v>
      </c>
      <c r="F29" s="4"/>
      <c r="G29" s="4"/>
      <c r="H29" s="4">
        <v>196156</v>
      </c>
      <c r="I29" s="5">
        <v>0.58142499999999997</v>
      </c>
      <c r="J29" s="4">
        <v>127129</v>
      </c>
      <c r="K29" s="6">
        <f t="shared" si="1"/>
        <v>1.5429681661933941</v>
      </c>
      <c r="L29" s="5" t="str">
        <f t="shared" si="0"/>
        <v/>
      </c>
      <c r="M29" s="4">
        <v>181</v>
      </c>
      <c r="N29" s="5">
        <f t="shared" si="2"/>
        <v>0.63011050994475126</v>
      </c>
      <c r="O29" s="7">
        <f t="shared" si="8"/>
        <v>9.2273496604743164E-4</v>
      </c>
      <c r="P29" s="4">
        <v>284</v>
      </c>
      <c r="Q29" s="8">
        <f t="shared" si="4"/>
        <v>1.4478272395440364E-3</v>
      </c>
      <c r="R29" s="9">
        <f t="shared" si="5"/>
        <v>0.89712026602899408</v>
      </c>
      <c r="S29" s="10">
        <f t="shared" si="6"/>
        <v>114.05000229999999</v>
      </c>
    </row>
    <row r="30" spans="1:19" ht="110.4" x14ac:dyDescent="0.3">
      <c r="A30" s="3">
        <v>44482</v>
      </c>
      <c r="B30" s="3">
        <v>45609</v>
      </c>
      <c r="C30" s="4" t="s">
        <v>53</v>
      </c>
      <c r="D30" s="3">
        <v>45250</v>
      </c>
      <c r="E30" s="3">
        <v>45244</v>
      </c>
      <c r="F30" s="4"/>
      <c r="G30" s="4"/>
      <c r="H30" s="4">
        <v>1116</v>
      </c>
      <c r="I30" s="5">
        <v>4.5161290000000003</v>
      </c>
      <c r="J30" s="4">
        <v>1063</v>
      </c>
      <c r="K30" s="6">
        <f t="shared" si="1"/>
        <v>1.0498588899341486</v>
      </c>
      <c r="L30" s="5" t="str">
        <f t="shared" si="0"/>
        <v/>
      </c>
      <c r="M30" s="4">
        <v>5</v>
      </c>
      <c r="N30" s="5">
        <f t="shared" si="2"/>
        <v>1.0079999928000001</v>
      </c>
      <c r="O30" s="7">
        <f t="shared" si="8"/>
        <v>4.4802867383512543E-3</v>
      </c>
      <c r="P30" s="4">
        <v>12</v>
      </c>
      <c r="Q30" s="8">
        <f t="shared" si="4"/>
        <v>1.0752688172043012E-2</v>
      </c>
      <c r="R30" s="9">
        <f t="shared" si="5"/>
        <v>4.7412981787394166</v>
      </c>
      <c r="S30" s="10">
        <f t="shared" si="6"/>
        <v>5.0399999640000006</v>
      </c>
    </row>
    <row r="31" spans="1:19" ht="82.8" x14ac:dyDescent="0.3">
      <c r="A31" s="3">
        <v>44482</v>
      </c>
      <c r="B31" s="3">
        <v>45609</v>
      </c>
      <c r="C31" s="4" t="s">
        <v>54</v>
      </c>
      <c r="D31" s="3">
        <v>45315</v>
      </c>
      <c r="E31" s="3">
        <v>45245</v>
      </c>
      <c r="F31" s="4">
        <v>346</v>
      </c>
      <c r="G31" s="4" t="s">
        <v>28</v>
      </c>
      <c r="H31" s="4">
        <v>176172</v>
      </c>
      <c r="I31" s="5">
        <v>2.4400590000000002</v>
      </c>
      <c r="J31" s="4">
        <v>45571</v>
      </c>
      <c r="K31" s="6">
        <f t="shared" si="1"/>
        <v>3.8658796164227249</v>
      </c>
      <c r="L31" s="5">
        <f t="shared" si="0"/>
        <v>1.2423990582312141</v>
      </c>
      <c r="M31" s="4">
        <v>1354</v>
      </c>
      <c r="N31" s="5">
        <f t="shared" si="2"/>
        <v>0.31748159095125561</v>
      </c>
      <c r="O31" s="7">
        <f t="shared" si="8"/>
        <v>7.6856708216969782E-3</v>
      </c>
      <c r="P31" s="4">
        <v>2019</v>
      </c>
      <c r="Q31" s="8">
        <f t="shared" si="4"/>
        <v>1.1460390981540766E-2</v>
      </c>
      <c r="R31" s="9">
        <f t="shared" si="5"/>
        <v>9.43297435096882</v>
      </c>
      <c r="S31" s="10">
        <f t="shared" si="6"/>
        <v>429.87007414800007</v>
      </c>
    </row>
    <row r="32" spans="1:19" ht="82.8" x14ac:dyDescent="0.3">
      <c r="A32" s="3">
        <v>44482</v>
      </c>
      <c r="B32" s="3">
        <v>45609</v>
      </c>
      <c r="C32" s="4" t="s">
        <v>55</v>
      </c>
      <c r="D32" s="4" t="s">
        <v>21</v>
      </c>
      <c r="E32" s="3">
        <v>45250</v>
      </c>
      <c r="F32" s="4">
        <v>13</v>
      </c>
      <c r="G32" s="4" t="s">
        <v>26</v>
      </c>
      <c r="H32" s="4">
        <v>474340</v>
      </c>
      <c r="I32" s="5">
        <v>5.2030399999999997</v>
      </c>
      <c r="J32" s="4">
        <v>69873</v>
      </c>
      <c r="K32" s="6">
        <f t="shared" si="1"/>
        <v>6.7886021782376593</v>
      </c>
      <c r="L32" s="5">
        <f t="shared" si="0"/>
        <v>189.84692258461536</v>
      </c>
      <c r="M32" s="4">
        <v>2457</v>
      </c>
      <c r="N32" s="5">
        <f t="shared" si="2"/>
        <v>1.0044810718762718</v>
      </c>
      <c r="O32" s="7">
        <f t="shared" si="8"/>
        <v>5.1798288147742125E-3</v>
      </c>
      <c r="P32" s="4">
        <v>4892</v>
      </c>
      <c r="Q32" s="8">
        <f t="shared" si="4"/>
        <v>1.0313277395960703E-2</v>
      </c>
      <c r="R32" s="9">
        <f t="shared" si="5"/>
        <v>35.32136867745767</v>
      </c>
      <c r="S32" s="10">
        <f t="shared" si="6"/>
        <v>2468.0099935999997</v>
      </c>
    </row>
    <row r="33" spans="1:19" ht="41.4" x14ac:dyDescent="0.3">
      <c r="A33" s="3">
        <v>44482</v>
      </c>
      <c r="B33" s="3">
        <v>45609</v>
      </c>
      <c r="C33" s="4" t="s">
        <v>56</v>
      </c>
      <c r="D33" s="3">
        <v>45315</v>
      </c>
      <c r="E33" s="3">
        <v>45250</v>
      </c>
      <c r="F33" s="4">
        <v>276930</v>
      </c>
      <c r="G33" s="4" t="s">
        <v>32</v>
      </c>
      <c r="H33" s="4">
        <v>552793</v>
      </c>
      <c r="I33" s="5">
        <v>0.52592899999999998</v>
      </c>
      <c r="J33" s="4">
        <v>276930</v>
      </c>
      <c r="K33" s="6">
        <f t="shared" si="1"/>
        <v>1.9961470407684252</v>
      </c>
      <c r="L33" s="5">
        <f t="shared" si="0"/>
        <v>1.0498316170042972E-3</v>
      </c>
      <c r="M33" s="4">
        <v>435</v>
      </c>
      <c r="N33" s="5">
        <f t="shared" si="2"/>
        <v>0.66834452803908051</v>
      </c>
      <c r="O33" s="7">
        <f t="shared" si="8"/>
        <v>7.8691300360170984E-4</v>
      </c>
      <c r="P33" s="4">
        <v>664</v>
      </c>
      <c r="Q33" s="8">
        <f t="shared" si="4"/>
        <v>1.2011729526242192E-3</v>
      </c>
      <c r="R33" s="9">
        <f t="shared" si="5"/>
        <v>1.0498316170042972</v>
      </c>
      <c r="S33" s="10">
        <f t="shared" si="6"/>
        <v>290.72986969700003</v>
      </c>
    </row>
    <row r="34" spans="1:19" ht="82.8" x14ac:dyDescent="0.3">
      <c r="A34" s="3">
        <v>44482</v>
      </c>
      <c r="B34" s="3">
        <v>45609</v>
      </c>
      <c r="C34" s="4" t="s">
        <v>57</v>
      </c>
      <c r="D34" s="3">
        <v>45347</v>
      </c>
      <c r="E34" s="3">
        <v>45315</v>
      </c>
      <c r="F34" s="4">
        <v>76</v>
      </c>
      <c r="G34" s="4" t="s">
        <v>26</v>
      </c>
      <c r="H34" s="4">
        <v>347419</v>
      </c>
      <c r="I34" s="5">
        <v>3.2913860000000001</v>
      </c>
      <c r="J34" s="4">
        <v>55953</v>
      </c>
      <c r="K34" s="6">
        <f t="shared" si="1"/>
        <v>6.209121941629582</v>
      </c>
      <c r="L34" s="5">
        <f t="shared" si="0"/>
        <v>15.045921483342108</v>
      </c>
      <c r="M34" s="4">
        <v>1600</v>
      </c>
      <c r="N34" s="5">
        <f t="shared" si="2"/>
        <v>0.71468127045875007</v>
      </c>
      <c r="O34" s="7">
        <f t="shared" si="8"/>
        <v>4.6053900333602937E-3</v>
      </c>
      <c r="P34" s="4">
        <v>3766</v>
      </c>
      <c r="Q34" s="8">
        <f t="shared" si="4"/>
        <v>1.0839936791021793E-2</v>
      </c>
      <c r="R34" s="9">
        <f t="shared" si="5"/>
        <v>20.436617030972428</v>
      </c>
      <c r="S34" s="10">
        <f t="shared" si="6"/>
        <v>1143.4900327340001</v>
      </c>
    </row>
    <row r="35" spans="1:19" ht="55.2" x14ac:dyDescent="0.3">
      <c r="A35" s="3">
        <v>44482</v>
      </c>
      <c r="B35" s="3">
        <v>45609</v>
      </c>
      <c r="C35" s="4" t="s">
        <v>58</v>
      </c>
      <c r="D35" s="3">
        <v>45347</v>
      </c>
      <c r="E35" s="3">
        <v>45315</v>
      </c>
      <c r="F35" s="4">
        <v>30368</v>
      </c>
      <c r="G35" s="4" t="s">
        <v>24</v>
      </c>
      <c r="H35" s="4">
        <v>261122</v>
      </c>
      <c r="I35" s="5">
        <v>2.4176820000000001</v>
      </c>
      <c r="J35" s="4">
        <v>101857</v>
      </c>
      <c r="K35" s="6">
        <f t="shared" si="1"/>
        <v>2.5636136937078455</v>
      </c>
      <c r="L35" s="5">
        <f t="shared" si="0"/>
        <v>2.078865777146997E-2</v>
      </c>
      <c r="M35" s="4">
        <v>2069</v>
      </c>
      <c r="N35" s="5">
        <f t="shared" si="2"/>
        <v>0.30512806148090865</v>
      </c>
      <c r="O35" s="7">
        <f t="shared" si="8"/>
        <v>7.9234993604522016E-3</v>
      </c>
      <c r="P35" s="4">
        <v>7392</v>
      </c>
      <c r="Q35" s="8">
        <f t="shared" si="4"/>
        <v>2.8308606704911879E-2</v>
      </c>
      <c r="R35" s="9">
        <f t="shared" si="5"/>
        <v>6.1980026822309719</v>
      </c>
      <c r="S35" s="10">
        <f t="shared" si="6"/>
        <v>631.30995920400005</v>
      </c>
    </row>
    <row r="36" spans="1:19" ht="69" x14ac:dyDescent="0.3">
      <c r="A36" s="3">
        <v>44482</v>
      </c>
      <c r="B36" s="3">
        <v>45609</v>
      </c>
      <c r="C36" s="4" t="s">
        <v>59</v>
      </c>
      <c r="D36" s="3">
        <v>45347</v>
      </c>
      <c r="E36" s="3">
        <v>45336</v>
      </c>
      <c r="F36" s="4">
        <v>109945</v>
      </c>
      <c r="G36" s="4" t="s">
        <v>32</v>
      </c>
      <c r="H36" s="4">
        <v>128014</v>
      </c>
      <c r="I36" s="5">
        <v>0.39269100000000001</v>
      </c>
      <c r="J36" s="4">
        <v>109945</v>
      </c>
      <c r="K36" s="6">
        <f t="shared" si="1"/>
        <v>1.1643458092682706</v>
      </c>
      <c r="L36" s="5">
        <f t="shared" si="0"/>
        <v>4.5722812018736641E-4</v>
      </c>
      <c r="M36" s="4">
        <v>81</v>
      </c>
      <c r="N36" s="5">
        <f t="shared" si="2"/>
        <v>0.62061661325925921</v>
      </c>
      <c r="O36" s="7">
        <f t="shared" si="8"/>
        <v>6.3274329370225128E-4</v>
      </c>
      <c r="P36" s="4">
        <v>137</v>
      </c>
      <c r="Q36" s="8">
        <f t="shared" si="4"/>
        <v>1.0701954473729435E-3</v>
      </c>
      <c r="R36" s="9">
        <f t="shared" si="5"/>
        <v>0.45722812018736642</v>
      </c>
      <c r="S36" s="10">
        <f t="shared" si="6"/>
        <v>50.269945673999999</v>
      </c>
    </row>
    <row r="37" spans="1:19" ht="55.2" x14ac:dyDescent="0.3">
      <c r="A37" s="3">
        <v>44482</v>
      </c>
      <c r="B37" s="3">
        <v>45609</v>
      </c>
      <c r="C37" s="4" t="s">
        <v>60</v>
      </c>
      <c r="D37" s="3">
        <v>45441</v>
      </c>
      <c r="E37" s="3">
        <v>45392</v>
      </c>
      <c r="F37" s="4">
        <v>24</v>
      </c>
      <c r="G37" s="4" t="s">
        <v>26</v>
      </c>
      <c r="H37" s="4">
        <v>242115</v>
      </c>
      <c r="I37" s="5">
        <v>4.9350519999999998</v>
      </c>
      <c r="J37" s="4">
        <v>61843</v>
      </c>
      <c r="K37" s="6">
        <f t="shared" si="1"/>
        <v>3.9149944213573082</v>
      </c>
      <c r="L37" s="5">
        <f t="shared" si="0"/>
        <v>49.7854214575</v>
      </c>
      <c r="M37" s="4">
        <v>983</v>
      </c>
      <c r="N37" s="5">
        <f t="shared" si="2"/>
        <v>1.2155138504374363</v>
      </c>
      <c r="O37" s="7">
        <f t="shared" si="8"/>
        <v>4.0600541065196295E-3</v>
      </c>
      <c r="P37" s="4">
        <v>2143</v>
      </c>
      <c r="Q37" s="8">
        <f t="shared" si="4"/>
        <v>8.8511657683332298E-3</v>
      </c>
      <c r="R37" s="9">
        <f t="shared" si="5"/>
        <v>19.320701049108223</v>
      </c>
      <c r="S37" s="10">
        <f t="shared" si="6"/>
        <v>1194.8501149799999</v>
      </c>
    </row>
    <row r="38" spans="1:19" ht="69" x14ac:dyDescent="0.3">
      <c r="A38" s="3">
        <v>44482</v>
      </c>
      <c r="B38" s="3">
        <v>45609</v>
      </c>
      <c r="C38" s="4" t="s">
        <v>61</v>
      </c>
      <c r="D38" s="3">
        <v>45461</v>
      </c>
      <c r="E38" s="3">
        <v>45392</v>
      </c>
      <c r="F38" s="4">
        <v>4702</v>
      </c>
      <c r="G38" s="4" t="s">
        <v>24</v>
      </c>
      <c r="H38" s="4">
        <v>128468</v>
      </c>
      <c r="I38" s="5">
        <v>4.2904850000000003</v>
      </c>
      <c r="J38" s="4">
        <v>36143</v>
      </c>
      <c r="K38" s="6">
        <f t="shared" si="1"/>
        <v>3.5544365437290764</v>
      </c>
      <c r="L38" s="5">
        <f t="shared" si="0"/>
        <v>0.11722459102084221</v>
      </c>
      <c r="M38" s="4">
        <v>290</v>
      </c>
      <c r="N38" s="5">
        <f t="shared" si="2"/>
        <v>1.9006552654482762</v>
      </c>
      <c r="O38" s="7">
        <f t="shared" si="8"/>
        <v>2.2573714855061182E-3</v>
      </c>
      <c r="P38" s="4">
        <v>3165</v>
      </c>
      <c r="Q38" s="8">
        <f t="shared" si="4"/>
        <v>2.4636485350437463E-2</v>
      </c>
      <c r="R38" s="9">
        <f t="shared" si="5"/>
        <v>15.250256674321449</v>
      </c>
      <c r="S38" s="10">
        <f t="shared" si="6"/>
        <v>551.19002698000008</v>
      </c>
    </row>
    <row r="39" spans="1:19" ht="82.8" x14ac:dyDescent="0.3">
      <c r="A39" s="3">
        <v>44482</v>
      </c>
      <c r="B39" s="3">
        <v>45609</v>
      </c>
      <c r="C39" s="4" t="s">
        <v>62</v>
      </c>
      <c r="D39" s="3">
        <v>45649</v>
      </c>
      <c r="E39" s="3">
        <v>45461</v>
      </c>
      <c r="F39" s="4">
        <v>11961</v>
      </c>
      <c r="G39" s="4" t="s">
        <v>24</v>
      </c>
      <c r="H39" s="4">
        <v>720844</v>
      </c>
      <c r="I39" s="5">
        <v>1.4738830000000001</v>
      </c>
      <c r="J39" s="4">
        <v>186417</v>
      </c>
      <c r="K39" s="6">
        <f t="shared" si="1"/>
        <v>3.8668361791038373</v>
      </c>
      <c r="L39" s="5">
        <f t="shared" si="0"/>
        <v>8.8825325411922076E-2</v>
      </c>
      <c r="M39" s="4">
        <v>9912</v>
      </c>
      <c r="N39" s="5">
        <f t="shared" si="2"/>
        <v>0.10718721925464084</v>
      </c>
      <c r="O39" s="7">
        <f t="shared" si="8"/>
        <v>1.3750547968769941E-2</v>
      </c>
      <c r="P39" s="4">
        <v>16319</v>
      </c>
      <c r="Q39" s="8">
        <f t="shared" si="4"/>
        <v>2.2638740143498454E-2</v>
      </c>
      <c r="R39" s="9">
        <f t="shared" si="5"/>
        <v>5.6992641081661013</v>
      </c>
      <c r="S39" s="10">
        <f t="shared" si="6"/>
        <v>1062.439717252</v>
      </c>
    </row>
    <row r="40" spans="1:19" ht="55.2" x14ac:dyDescent="0.3">
      <c r="A40" s="3">
        <v>44482</v>
      </c>
      <c r="B40" s="3">
        <v>45609</v>
      </c>
      <c r="C40" s="4" t="s">
        <v>63</v>
      </c>
      <c r="D40" s="3">
        <v>45565</v>
      </c>
      <c r="E40" s="3">
        <v>45464</v>
      </c>
      <c r="F40" s="4">
        <v>25</v>
      </c>
      <c r="G40" s="4" t="s">
        <v>26</v>
      </c>
      <c r="H40" s="4">
        <v>355288</v>
      </c>
      <c r="I40" s="5">
        <v>4.8151080000000004</v>
      </c>
      <c r="J40" s="4">
        <v>80666</v>
      </c>
      <c r="K40" s="6">
        <f t="shared" si="1"/>
        <v>4.4044330944883843</v>
      </c>
      <c r="L40" s="5">
        <f t="shared" si="0"/>
        <v>68.43000364416001</v>
      </c>
      <c r="M40" s="4">
        <v>1964</v>
      </c>
      <c r="N40" s="5">
        <f t="shared" si="2"/>
        <v>0.87105401787372716</v>
      </c>
      <c r="O40" s="7">
        <f t="shared" si="8"/>
        <v>5.5279097520884463E-3</v>
      </c>
      <c r="P40" s="4">
        <v>4296</v>
      </c>
      <c r="Q40" s="8">
        <f t="shared" si="4"/>
        <v>1.2091598928193465E-2</v>
      </c>
      <c r="R40" s="9">
        <f t="shared" si="5"/>
        <v>21.207821028735776</v>
      </c>
      <c r="S40" s="10">
        <f t="shared" si="6"/>
        <v>1710.7500911040001</v>
      </c>
    </row>
    <row r="41" spans="1:19" ht="69" x14ac:dyDescent="0.3">
      <c r="A41" s="3">
        <v>44482</v>
      </c>
      <c r="B41" s="3">
        <v>45609</v>
      </c>
      <c r="C41" s="4" t="s">
        <v>64</v>
      </c>
      <c r="D41" s="3">
        <v>45648</v>
      </c>
      <c r="E41" s="3">
        <v>45566</v>
      </c>
      <c r="F41" s="4">
        <v>104</v>
      </c>
      <c r="G41" s="4" t="s">
        <v>65</v>
      </c>
      <c r="H41" s="4">
        <v>141809</v>
      </c>
      <c r="I41" s="5">
        <v>5.6318710000000003</v>
      </c>
      <c r="J41" s="4">
        <v>40061</v>
      </c>
      <c r="K41" s="6">
        <f t="shared" si="1"/>
        <v>3.5398267641846184</v>
      </c>
      <c r="L41" s="5">
        <f t="shared" si="0"/>
        <v>7.679326871528847</v>
      </c>
      <c r="M41" s="4">
        <v>1137</v>
      </c>
      <c r="N41" s="5">
        <f t="shared" si="2"/>
        <v>0.70241864084344774</v>
      </c>
      <c r="O41" s="7">
        <f>+M41/H41</f>
        <v>8.0178267951963554E-3</v>
      </c>
      <c r="P41" s="4">
        <v>2015</v>
      </c>
      <c r="Q41" s="8">
        <f t="shared" si="4"/>
        <v>1.4209253291398995E-2</v>
      </c>
      <c r="R41" s="9">
        <f t="shared" si="5"/>
        <v>19.935847698235193</v>
      </c>
      <c r="S41" s="10">
        <f t="shared" si="6"/>
        <v>798.64999463900006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Michetti</dc:creator>
  <cp:lastModifiedBy>FONTI LUDOVICO</cp:lastModifiedBy>
  <dcterms:created xsi:type="dcterms:W3CDTF">2024-11-18T14:22:58Z</dcterms:created>
  <dcterms:modified xsi:type="dcterms:W3CDTF">2024-11-20T15:32:47Z</dcterms:modified>
</cp:coreProperties>
</file>